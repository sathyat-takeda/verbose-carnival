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fvz2714\LocalRepos\insight-center-dev-unified-test-automation\products\common\data\"/>
    </mc:Choice>
  </mc:AlternateContent>
  <xr:revisionPtr revIDLastSave="0" documentId="8_{CFE89F1F-1131-4CF8-8609-A3F9191AF114}" xr6:coauthVersionLast="47" xr6:coauthVersionMax="47" xr10:uidLastSave="{00000000-0000-0000-0000-000000000000}"/>
  <bookViews>
    <workbookView xWindow="-110" yWindow="-110" windowWidth="19420" windowHeight="10300" firstSheet="11" activeTab="5" xr2:uid="{00000000-000D-0000-FFFF-FFFF00000000}"/>
  </bookViews>
  <sheets>
    <sheet name="PIC_API_SUITE" sheetId="1" r:id="rId1"/>
    <sheet name="NMT" sheetId="2" r:id="rId2"/>
    <sheet name="API Test Inputs" sheetId="3" r:id="rId3"/>
    <sheet name="Make_Vienna_API_Suite" sheetId="4" r:id="rId4"/>
    <sheet name="Gen_AI_API" sheetId="5" r:id="rId5"/>
    <sheet name="Risk" sheetId="6" r:id="rId6"/>
    <sheet name="Make_Vienna_TestData" sheetId="7" r:id="rId7"/>
    <sheet name="Platform_API_Test" sheetId="8" r:id="rId8"/>
    <sheet name="Ship" sheetId="9" r:id="rId9"/>
    <sheet name="AOS" sheetId="10" r:id="rId10"/>
    <sheet name="DQH" sheetId="11" r:id="rId11"/>
    <sheet name="Test" sheetId="12" r:id="rId12"/>
    <sheet name="Disposition" sheetId="13" r:id="rId13"/>
    <sheet name="tech_transfer" sheetId="14" r:id="rId14"/>
    <sheet name="Inventory"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1"/>
  <c r="D2" i="1"/>
  <c r="F7" i="1"/>
  <c r="E7" i="1"/>
  <c r="D7" i="1"/>
  <c r="C7" i="1"/>
  <c r="B7" i="1"/>
  <c r="A7" i="1"/>
  <c r="F6" i="1"/>
  <c r="E6" i="1"/>
  <c r="C6" i="1"/>
  <c r="B6" i="1"/>
  <c r="A6" i="1"/>
  <c r="F5" i="1"/>
  <c r="E5" i="1"/>
  <c r="D5" i="1"/>
  <c r="C5" i="1"/>
  <c r="B5" i="1"/>
  <c r="A5" i="1"/>
  <c r="F4" i="1"/>
  <c r="E4" i="1"/>
  <c r="C4" i="1"/>
  <c r="B4" i="1"/>
  <c r="A4" i="1"/>
  <c r="F3" i="1"/>
  <c r="E3" i="1"/>
  <c r="D3" i="1"/>
  <c r="C3" i="1"/>
  <c r="B3" i="1"/>
  <c r="A3" i="1"/>
  <c r="F2" i="1"/>
  <c r="E2" i="1"/>
  <c r="C2" i="1"/>
  <c r="B2" i="1"/>
  <c r="A2" i="1"/>
</calcChain>
</file>

<file path=xl/sharedStrings.xml><?xml version="1.0" encoding="utf-8"?>
<sst xmlns="http://schemas.openxmlformats.org/spreadsheetml/2006/main" count="909" uniqueCount="501">
  <si>
    <t>TestCaseName</t>
  </si>
  <si>
    <t>EndPoint</t>
  </si>
  <si>
    <t>Method</t>
  </si>
  <si>
    <t>Payload</t>
  </si>
  <si>
    <t>ExpectedStatusCode</t>
  </si>
  <si>
    <t>Expected Response</t>
  </si>
  <si>
    <t>Extracted Key</t>
  </si>
  <si>
    <t>conversation_id</t>
  </si>
  <si>
    <t>message_id</t>
  </si>
  <si>
    <t>TC_CreateScenario</t>
  </si>
  <si>
    <t>/nmt/api/v1/nmt/scenarios/</t>
  </si>
  <si>
    <t>POST</t>
  </si>
  <si>
    <t>{
    "no_advance_calculation": false,
    "scenario_name": "Test-API-Automation",
    "scenario_description": "test",
    "users": [],
    "access_level": "private",
    "forecast_version": "2026-JAN",
    "start_date": "2026-JAN",
    "end_date": "2026-DEC",
    "flows": [
        {
            "nodes": [
                {
                    "site_id": "3623",
                    "description": "3623 - MFCT Lessines, Lessines (MFCT)"
                },
                {
                    "site_id": "7807",
                    "description": "7807 - LOC Canada, Halton Hills (LOC)"
                }
            ],
            "index": "PLASMA:5500736 - CUVITRU,10G,CA:Canada:Cold:NO:B2B:3623|7807",
            "routed_nodes": [
                "3623",
                "7807"
            ],
            "market_iso2": "CA",
            "trade_name": "CUVITRU",
            "operating_unit": "PLASMA",
            "temperature_range": "Cold",
            "controlled_drugs": "NO",
            "plm_status": "B2B",
            "sku_description": "5500736-CUVITRU,10G,CA",
            "country_description": "Canada",
            "gross_weight": 147,
            "quantity_per_pal": 1600,
            "material_text": "CUVITRU,10G,CA",
            "customer_code_in_ibp": "D_CA HM_DI_3032",
            "finance_country_code": "CA",
            "unit_of_measure": "PC",
            "material_type": "S - Finished Goods",
            "weight_unit": "G",
            "material_clean": "5500736",
            "temperature_detailed": "+2°C to +8°C",
            "distrib_sites": "3623|7807",
            "quantity_demand": [
                {
                    "lane_id": "3623_7807",
                    "volume": 69049
                }
            ],
            "quantity_supply": [
                {
                    "lane_id": "3623_7807",
                    "volume": 77470.70031738281
                }
            ],
            "flow_type": "Scope",
            "flow_key": 5225,
            "tariff_details": [
                {
                    "lane_id": "3623_7807",
                    "country_code": "BE",
                    "tariff_code": "3002150000",
                    "unit_price": null,
                    "currency": null,
                    "total_price": 0,
                    "tariff_rate_pct": 0,
                    "tariff_rate_annex_1": null,
                    "tariff_rate_annex_2": null,
                    "tariff_duty": 0,
                    "volume": 77470.70031738281
                }
            ]
        },
        {
            "nodes": [
                {
                    "site_id": "1501",
                    "description": "1501 - MFCT Bray, Bray (MFCT)"
                },
                {
                    "site_id": "3801",
                    "description": "3801 - RDC Germany Arvato, Harsewinkel (RDC)"
                },
                {
                    "site_id": "SA",
                    "description": "Saudi arabia Wholes./Cust."
                }
            ],
            "index": "SM&amp;O:6522110 - Fruzaqla 1mg 21ct Bottle KSA:Saudi Arabia:Ambient:NO:B2B:1501|3801|SA",
            "routed_nodes": [
                "1501",
                "3801",
                "SA"
            ],
            "market_iso2": "SA",
            "trade_name": "FRUZAQLA",
            "operating_unit": "SM&amp;O",
            "temperature_range": "Ambient",
            "controlled_drugs": "NO",
            "plm_status": "B2B",
            "sku_description": "6522110-Fruzaqla 1mg 21ct Bottle KSA",
            "country_description": "Saudi Arabia",
            "gross_weight": 41,
            "quantity_per_pal": 1200,
            "material_text": "Fruzaqla 1mg 21ct Bottle KSA",
            "customer_code_in_ibp": "D_SA OP_EP_1380",
            "finance_country_code": "SA",
            "unit_of_measure": "PC",
            "material_type": "S - Finished Goods",
            "weight_unit": "G",
            "material_clean": "6522110",
            "temperature_detailed": "+15°C to +25°C",
            "distrib_sites": "1501|3801|SA",
            "quantity_demand": [
                {
                    "lane_id": "1501_3801",
                    "volume": 30
                },
                {
                    "lane_id": "3801_SA",
                    "volume": 30
                }
            ],
            "quantity_supply": [
                {
                    "lane_id": "1501_3801",
                    "volume": 48
                },
                {
                    "lane_id": "3801_SA",
                    "volume": 30
                }
            ],
            "flow_type": "Scope",
            "flow_key": 11,
            "tariff_details": [
                {
                    "lane_id": "1501_3801",
                    "country_code": null,
                    "tariff_code": "30049000",
                    "unit_price": 0,
                    "currency": "EUR",
                    "total_price": 0,
                    "tariff_rate_pct": null,
                    "tariff_rate_annex_1": null,
                    "tariff_rate_annex_2": null,
                    "tariff_duty": 0,
                    "volume": 48
                }
            ]
        },
        {
            "nodes": [
                {
                    "site_id": "3623",
                    "description": "3623 - MFCT Lessines, Lessines (MFCT)"
                },
                {
                    "site_id": "350",
                    "description": "350 - LOC Switzerland, Niederbipp (LOC)"
                }
            ],
            "index": "PLASMA:1800223 - IG Infusion 10%, 20G - Clinical Studies:Switzerland:Cold:NO:CLINICAL:3623|350",
            "routed_nodes": [
                "3623",
                "350"
            ],
            "market_iso2": "CH",
            "trade_name": "GAMMAGARD KIOVIG LIQUID",
            "operating_unit": "PLASMA",
            "temperature_range": "Cold",
            "controlled_drugs": "NO",
            "plm_status": "CLINICAL",
            "sku_description": "1800223-IG Infusion 10%, 20G - Clinical Studies",
            "country_description": "Switzerland",
            "gross_weight": 368,
            "quantity_per_pal": 600,
            "material_text": "IG Infusion 10%, 20G - Clinical Studies",
            "customer_code_in_ibp": "D_CH OP_EP_8036",
            "finance_country_code": "CH",
            "unit_of_measure": "PC",
            "material_type": "S - Finished Goods",
            "weight_unit": "G",
            "material_clean": "1800223",
            "temperature_detailed": "+2°C to +8°C",
            "distrib_sites": "3623|350",
            "quantity_demand": [
                {
                    "lane_id": "3623_350",
                    "volume": 3900
                }
            ],
            "quantity_supply": [
                {
                    "lane_id": "3623_350",
                    "volume": 1968.5742797851562
                }
            ],
            "flow_type": "Scope",
            "flow_key": 12,
            "tariff_details": [
                {
                    "lane_id": "3623_350",
                    "country_code": null,
                    "tariff_code": null,
                    "unit_price": null,
                    "currency": null,
                    "total_price": 0,
                    "tariff_rate_pct": null,
                    "tariff_rate_annex_1": null,
                    "tariff_rate_annex_2": null,
                    "tariff_duty": 0,
                    "volume": 1968.5742797851562
                }
            ]
        },
        {
            "nodes": [
                {
                    "site_id": "3623",
                    "description": "3623 - MFCT Lessines, Lessines (MFCT)"
                },
                {
                    "site_id": "3801",
                    "description": "3801 - RDC Germany Arvato, Harsewinkel (RDC)"
                }
            ],
            "index": "PLASMA:1800226 - BULK PACK CUVITRU 20G:Germany:Cold:NO:CLINICAL:3623|3801",
            "routed_nodes": [
                "3623",
                "3801"
            ],
            "market_iso2": "DE",
            "trade_name": "CUVITRU",
            "operating_unit": "PLASMA",
            "temperature_range": "Cold",
            "controlled_drugs": "NO",
            "plm_status": "CLINICAL",
            "sku_description": "1800226-BULK PACK CUVITRU 20G",
            "country_description": "Germany",
            "gross_weight": 206,
            "quantity_per_pal": 1440,
            "material_text": "BULK PACK CUVITRU 20G",
            "customer_code_in_ibp": "D_DE HM_DI_8012",
            "finance_country_code": "DE",
            "unit_of_measure": "PC",
            "material_type": "S - Finished Goods",
            "weight_unit": "G",
            "material_clean": "1800226",
            "temperature_detailed": "+2°C to +8°C",
            "distrib_sites": "3623|3801",
            "quantity_demand": [
                {
                    "lane_id": "3623_3801",
                    "volume": 2300
                }
            ],
            "quantity_supply": [
                {
                    "lane_id": "3623_3801",
                    "volume": 1257.1471862792969
                }
            ],
            "flow_type": "Scope",
            "flow_key": 13,
            "tariff_details": [
                {
                    "lane_id": "3623_3801",
                    "country_code": null,
                    "tariff_code": null,
                    "unit_price": null,
                    "currency": null,
                    "total_price": 0,
                    "tariff_rate_pct": null,
                    "tariff_rate_annex_1": null,
                    "tariff_rate_annex_2": null,
                    "tariff_duty": 0,
                    "volume": 1257.1471862792969
                }
            ]
        },
        {
            "nodes": [
                {
                    "site_id": "3623",
                    "description": "3623 - MFCT Lessines, Lessines (MFCT)"
                },
                {
                    "site_id": "3811",
                    "description": "3811 - RDC Germany TOF, Alzenau (RDC)"
                }
            ],
            "index": "BIOLOGICS:8800240 - ADVATE,HIGH,CLINICAL,BAX111:Germany:Cold:NO:CLINICAL:3623|3811",
            "routed_nodes": [
                "3623",
                "3811"
            ],
            "market_iso2": "DE",
            "trade_name": "ADVATE",
            "operating_unit": "BIOLOGICS",
            "temperature_range": "Cold",
            "controlled_drugs": "NO",
            "plm_status": "CLINICAL",
            "sku_description": "8800240-ADVATE,HIGH,CLINICAL,BAX111",
            "country_description": "Germany",
            "gross_weight": 11,
            "quantity_per_pal": 12960,
            "material_text": "ADVATE,HIGH,CLINICAL,BAX111",
            "customer_code_in_ibp": "D_DE HM_DI_8036",
            "finance_country_code": "DE",
            "unit_of_measure": "PC",
            "material_type": "S - Finished Goods",
            "weight_unit": "G",
            "material_clean": "8800240",
            "temperature_detailed": "+2°C to +8°C",
            "distrib_sites": "3623|3811",
            "quantity_demand": [
                {
                    "lane_id": "3623_3811",
                    "volume": 500
                }
            ],
            "quantity_supply": [
                {
                    "lane_id": "3623_3811",
                    "volume": 357.1428527832031
                }
            ],
            "flow_type": "Scope",
            "flow_key": 14,
            "tariff_details": [
                {
                    "lane_id": "3623_3811",
                    "country_code": null,
                    "tariff_code": null,
                    "unit_price": null,
                    "currency": null,
                    "total_price": 0,
                    "tariff_rate_pct": null,
                    "tariff_rate_annex_1": null,
                    "tariff_rate_annex_2": null,
                    "tariff_duty": 0,
                    "volume": 357.1428527832031
                }
            ]
        },
        {
            "nodes": [
                {
                    "site_id": "3622",
                    "description": "3622 - MFCT Vienna, Vienna (MFCT)"
                },
                {
                    "site_id": "3811",
                    "description": "3811 - RDC Germany TOF, Alzenau (RDC)"
                }
            ],
            "index": "OTHER:6510365 - RADAMTS13,1500IU,BJIIHF,5ML,YL CLINICAL:Germany:Cold:NO:CLINICAL:3622|3811",
            "routed_nodes": [
                "3622",
                "3811"
            ],
            "market_iso2": "DE",
            "trade_name": "OTHER BIOTHERAPEUTICS",
            "operating_unit": "OTHER",
            "temperature_range": "Cold",
            "controlled_drugs": "NO",
            "plm_status": "CLINICAL",
            "sku_description": "6510365-RADAMTS13,1500IU,BJIIHF,5ML,YL CLINICAL",
            "country_description": "Germany",
            "gross_weight": 13,
            "quantity_per_pal": 2014,
            "material_text": "RADAMTS13,1500IU,BJIIHF,5ML,YL CLINICAL",
            "customer_code_in_ibp": "D_DE HM_DI_8036",
            "finance_country_code": "DE",
            "unit_of_measure": "PC",
            "material_type": "S - Finished Goods",
            "weight_unit": "G",
            "material_clean": "6510365",
            "temperature_detailed": "+2°C to +8°C",
            "distrib_sites": "3622|3811",
            "quantity_demand": [
                {
                    "lane_id": "3622_3811",
                    "volume": 14000
                }
            ],
            "quantity_supply": [
                {
                    "lane_id": "3622_3811",
                    "volume": 18000
                }
            ],
            "flow_type": "Scope",
            "flow_key": 15,
            "tariff_details": [
                {
                    "lane_id": "3622_3811",
                    "country_code": null,
                    "tariff_code": null,
                    "unit_price": null,
                    "currency": null,
                    "total_price": 0,
                    "tariff_rate_pct": null,
                    "tariff_rate_annex_1": null,
                    "tariff_rate_annex_2": null,
                    "tariff_duty": 0,
                    "volume": 18000
                }
            ]
        },
        {
            "nodes": [
                {
                    "site_id": "3623",
                    "description": "3623 - MFCT Lessines, Lessines (MFCT)"
                },
                {
                    "site_id": "3001",
                    "description": "3001 - LOC Argentina, Olivos (LOC)"
                }
            ],
            "index": "PLASMA:1501302 - KIOVIG,10G,AR:Argentina:Cold:NO:CONSTRAINED:3623|3001",
            "routed_nodes": [
                "3623",
                "3001"
            ],
            "market_iso2": "AR",
            "trade_name": "GAMMAGARD KIOVIG LIQUID",
            "operating_unit": "PLASMA",
            "temperature_range": "Cold",
            "controlled_drugs": "NO",
            "plm_status": "CONSTRAINED",
            "sku_description": "1501302-KIOVIG,10G,AR",
            "country_description": "Argentina",
            "gross_weight": 238,
            "quantity_per_pal": 1008,
            "material_text": "KIOVIG,10G,AR",
            "customer_code_in_ibp": "D_AR HM_DI_9730",
            "finance_country_code": "AR",
            "unit_of_measure": "PC",
            "material_type": "S - Finished Goods",
            "weight_unit": "G",
            "material_clean": "1501302",
            "temperature_detailed": "+2°C to +8°C",
            "distrib_sites": "3623|3001",
            "quantity_demand": [
                {
                    "lane_id": "3623_3001",
                    "volume": 5900
                }
            ],
            "quantity_supply": [
                {
                    "lane_id": "3623_3001",
                    "volume": 11828.03384399414
                }
            ],
            "flow_type": "Scope",
            "flow_key": 17,
            "tariff_details": [
                {
                    "lane_id": "3623_3001",
                    "country_code": null,
                    "tariff_code": null,
                    "unit_price": null,
                    "currency": null,
                    "total_price": 0,
                    "tariff_rate_pct": null,
                    "tariff_rate_annex_1": null,
                    "tariff_rate_annex_2": null,
                    "tariff_duty": 0,
                    "volume": 11828.03384399414
                }
            ]
        }
    ],
    "edited_flows": [],
    "reroute_flows": [],
    "lanes": [],
    "tariff_changes": [],
    "updated_lanes": [],
    "custom_node": [],
    "volume_type": "Supply"
}</t>
  </si>
  <si>
    <t xml:space="preserve"> {
  "status": "Success",
  "data": {
    "scenario_id": "{scenario_id}"
  },
  "error": null
}
</t>
  </si>
  <si>
    <t>scenario_id</t>
  </si>
  <si>
    <t>TC_SharedScenario</t>
  </si>
  <si>
    <t>/nmt/api/v1/nmt/scenarios/shared-scenario</t>
  </si>
  <si>
    <t>{
    "scenario_id": "{scenario_id}",
    "users": [
        {
            "email_id": "soni.k-s@takeda.com",
            "user_name": "Soni K S [C]"
        }
    ]
}</t>
  </si>
  <si>
    <t>{
  "status": "Success",
  "data": {
    "message": "Email sent successfully"
  },
  "error": null
}</t>
  </si>
  <si>
    <t>TC_DeleteScenario</t>
  </si>
  <si>
    <t>/nmt/api/v1/nmt/scenarios?scenario_ids={scenario_id}</t>
  </si>
  <si>
    <t>DELETE</t>
  </si>
  <si>
    <t>{
  "status": "Success",
  "data": {
    "message": "Record deleted successfully"
  },
  "error": null
}</t>
  </si>
  <si>
    <t>TC_GetScenarios</t>
  </si>
  <si>
    <t>/nmt/api/v1/nmt/scenarios/?is_historical=true</t>
  </si>
  <si>
    <t>GET</t>
  </si>
  <si>
    <t>{}</t>
  </si>
  <si>
    <t>{
  "status": "Success",
  "data": {
    "scenarios": [
      {
        "scenario_id": "scen-62a908e6066b4ab98021c3a3febcd9f5",
        "scenario_name": "Network overview - Nov 24 to Oct 25",
        "description": "Based on 12 months existing historical data",
        "markets": [
          "Norway",
          "Argentina",
          "Kazakhstan",
          "Libya",
          "Panama",
          "Hong Kong",
          "Bulgaria",
          "Germany",
          "Ecuador",
          "Philippines",
          "Vietnam",
          "Croatia",
          "Kuwait",
          "Turkey",
          "Egypt",
          "France",
          "Czech Republic",
          "Belarus",
          "Finland",
          "Taiwan",
          "Estonia",
          "Denmark",
          "Singapore",
          "Russia",
          "Poland",
          "Colombia",
          "Serbia",
          "Costa Rica",
          "Brazil",
          "Mexico",
          "El Salvador",
          "Indonesia",
          "Paraguay",
          "South Africa",
          "New Zealand",
          "Slovakia",
          "Algeria",
          "Trinidad and Tobago",
          "Peru",
          "Switzerland",
          "Jordan",
          "Guatemala",
          "Slovenia",
          "Hungary",
          "Spain",
          "United States",
          "Ukraine",
          "Ireland",
          "Iraq",
          "Portugal",
          "Sweden",
          "Lithuania",
          "Honduras",
          "Lebanon",
          "Belgium",
          "Chile",
          "Romania",
          "Iran",
          "Canada",
          "Japan",
          "UK",
          "Tunisia",
          "Uruguay",
          "Netherlands",
          "Saudi Arabia",
          "Latvia",
          "Oman",
          "Bahrain",
          "Austria",
          "Italy",
          "Sri Lanka",
          "Thailand",
          "United Arab Emirates",
          "Israel",
          "Greece",
          "Azerbaijan",
          "India",
          "China",
          "Malaysia",
          "Australia"
        ],
        "brands": [
          "TAKHZYRO",
          "ADVATE",
          "AFIPRAN",
          "ACTOVEGIN",
          "LEUPRORELIN",
          "CALCIUM",
          "MELATONINA",
          "GLYCOSTIGMIN",
          "QDENGA",
          "BRENTUXIMAB",
          "GUTRON",
          "PRUCALOPRIDE",
          "LANSOPRAZOLE",
          "PREDNISOLON",
          "OBIZUR",
          "VPRIV",
          "ASAFLOW",
          "VONOPRAZAN",
          "FLEXBUMIN",
          "FACTOR VII",
          "ADYNOVATE",
          "ASACOL",
          "LANTHANUM",
          "PONATINIB",
          "CUVITRU",
          "FUROSEMID",
          "NORIPURUM",
          "ICATIBANT",
          "ATROPIN",
          "VORTIOXETINE",
          "GYNIPRAL",
          "ALBYL-E",
          "IMMUNATE",
          "AT-III",
          "ELAPRASE",
          "LISDEXAMFETAMINE",
          "ARALAST",
          "DOPAMIN",
          "RIOPAN",
          "VITAMIN B12",
          "AZILSARTAN MEDOXOMIL",
          "PANTOPRAZOLE",
          "PIOGLITAZONE",
          "CINRYZE",
          "GATTEX/REVESTIVE",
          "XEFO",
          "NYCOPLUS",
          "LIQUID HYQVIA",
          "ALOGLIPTIN",
          "OTHER BIOTHERAPEUTICS",
          "BRIGATINIB",
          "IXAZOMIB",
          "RECOMBINATE",
          "ANAGRELIDE",
          "CIRCADINE",
          "DEXLANSOPRAZOLE",
          "FLOWEASE",
          "GLASSIA",
          "MISCELLANEOUS PRODUCTS",
          "RAMELTEON",
          "REPLAGAL",
          "MESALAZINE",
          "VONVENDI",
          "HYDROCOBAMIN",
          "RIXUBIS",
          "FAKTU",
          "-",
          "LYSTHENON",
          "CONDYLINE",
          "FEIBA",
          "LEVOTHYROXIN",
          "KLORAMFENIKOL",
          "EUPHYLLIN",
          "GAMMAGARD",
          "WARFARIN",
          "ADZYNMA",
          "ADRENALIN",
          "HYDROCORTISONE",
          "ADDERALL XR",
          "PROTHROMBIN",
          "VEDOLIZUMAB",
          "POLICRESULEN",
          "MAGNYL",
          "LIQUID IGIV",
          "MEPACT",
          "CEDOCARD",
          "MARIBAVIR",
          "IMMUNINE",
          "PROTEIN C",
          "FERRUM",
          "GEWACALM",
          "ALBUMIN NG",
          "OTHER",
          "FRUQUINTINIB",
          "GUANFACINE",
          "EBRANTIL"
        ],
        "market_count": 80,
        "brand_count": 96,
        "forecast_version": "",
        "start_date": "2024-NOV",
        "end_date": "2025-OCT",
        "scoring_available": "processing",
        "users": [],
        "created_by": {
          "user_name": "PIC_NMT_SERVICE",
          "image_url": ""
        },
        "created_at": "2026-01-27T16:44:23.625816",
        "access_level": "global",
        "shared_with_user_emails": [],
        "volume_type": "Supply",
        "scen_stat_desc": "SUCCESS",
        "material_type": [
          "RAW",
          "PACK",
          "TRAD",
          "HALB",
          "FINI"
        ]
      },
      {
        "scenario_id": "scen-b938fc96a1e348188c6a77ea5ce5139e",
        "scenario_name": "Network overview - Dec 24 to Nov 25",
        "description": "Based on 12 months existing historical data",
        "markets": [
          "Norway",
          "Argentina",
          "Kazakhstan",
          "Libya",
          "Panama",
          "Hong Kong",
          "Bulgaria",
          "Germany",
          "Ecuador",
          "Philippines",
          "Vietnam",
          "Croatia",
          "Kuwait",
          "Turkey",
          "Egypt",
          "France",
          "Czech Republic",
          "Belarus",
          "Finland",
          "Taiwan",
          "Estonia",
          "Denmark",
          "Singapore",
          "Russia",
          "Poland",
          "Colombia",
          "Serbia",
          "Costa Rica",
          "Brazil",
          "Mexico",
          "El Salvador",
          "Indonesia",
          "Paraguay",
          "South Africa",
          "New Zealand",
          "Slovakia",
          "Algeria",
          "Trinidad and Tobago",
          "Peru",
          "Switzerland",
          "Jordan",
          "Guatemala",
          "Slovenia",
          "Hungary",
          "Spain",
          "United States",
          "Ukraine",
          "Ireland",
          "Iraq",
          "Portugal",
          "Sweden",
          "Lithuania",
          "Honduras",
          "Lebanon",
          "Belgium",
          "Chile",
          "Romania",
          "Iran",
          "Canada",
          "Japan",
          "UK",
          "Tunisia",
          "Uruguay",
          "Netherlands",
          "Saudi Arabia",
          "Latvia",
          "Oman",
          "Bahrain",
          "Austria",
          "Italy",
          "Sri Lanka",
          "Thailand",
          "United Arab Emirates",
          "Israel",
          "Greece",
          "Azerbaijan",
          "India",
          "China",
          "Malaysia",
          "Australia"
        ],
        "brands": [
          "TAKHZYRO",
          "ADVATE",
          "AFIPRAN",
          "ACTOVEGIN",
          "LEUPRORELIN",
          "CALCIUM",
          "MELATONINA",
          "GLYCOSTIGMIN",
          "QDENGA",
          "BRENTUXIMAB",
          "GUTRON",
          "PRUCALOPRIDE",
          "LANSOPRAZOLE",
          "PREDNISOLON",
          "OBIZUR",
          "VPRIV",
          "ASAFLOW",
          "VONOPRAZAN",
          "FLEXBUMIN",
          "FACTOR VII",
          "ADYNOVATE",
          "ASACOL",
          "LANTHANUM",
          "PONATINIB",
          "CUVITRU",
          "FUROSEMID",
          "NORIPURUM",
          "ICATIBANT",
          "ATROPIN",
          "VORTIOXETINE",
          "GYNIPRAL",
          "ALBYL-E",
          "IMMUNATE",
          "AT-III",
          "ELAPRASE",
          "LISDEXAMFETAMINE",
          "ARALAST",
          "DOPAMIN",
          "RIOPAN",
          "VITAMIN B12",
          "AZILSARTAN MEDOXOMIL",
          "PANTOPRAZOLE",
          "PIOGLITAZONE",
          "CINRYZE",
          "GATTEX/REVESTIVE",
          "XEFO",
          "NYCOPLUS",
          "LIQUID HYQVIA",
          "ALOGLIPTIN",
          "OTHER BIOTHERAPEUTICS",
          "BRIGATINIB",
          "IXAZOMIB",
          "RECOMBINATE",
          "ANAGRELIDE",
          "CIRCADINE",
          "DEXLANSOPRAZOLE",
          "FLOWEASE",
          "GLASSIA",
          "MISCELLANEOUS PRODUCTS",
          "RAMELTEON",
          "REPLAGAL",
          "MESALAZINE",
          "VONVENDI",
          "HYDROCOBAMIN",
          "RIXUBIS",
          "FAKTU",
          "-",
          "LYSTHENON",
          "CONDYLINE",
          "FEIBA",
          "LEVOTHYROXIN",
          "KLORAMFENIKOL",
          "EUPHYLLIN",
          "GAMMAGARD",
          "WARFARIN",
          "ADZYNMA",
          "ADRENALIN",
          "HYDROCORTISONE",
          "ADDERALL XR",
          "PROTHROMBIN",
          "VEDOLIZUMAB",
          "POLICRESULEN",
          "MAGNYL",
          "LIQUID IGIV",
          "MEPACT",
          "CEDOCARD",
          "MARIBAVIR",
          "IMMUNINE",
          "PROTEIN C",
          "FERRUM",
          "GEWACALM",
          "ALBUMIN NG",
          "OTHER",
          "FRUQUINTINIB",
          "GUANFACINE",
          "EBRANTIL"
        ],
        "market_count": 80,
        "brand_count": 96,
        "forecast_version": "",
        "start_date": "2024-DEC",
        "end_date": "2025-NOV",
        "scoring_available": "processing",
        "users": [],
        "created_by": {
          "user_name": "PIC_NMT_SERVICE",
          "image_url": ""
        },
        "created_at": "2026-01-27T16:49:20.845209",
        "access_level": "global",
        "shared_with_user_emails": [],
        "volume_type": "Supply",
        "scen_stat_desc": "SUCCESS",
        "material_type": [
          "RAW",
          "PACK",
          "TRAD",
          "HALB",
          "FINI"
        ]
      },
      {
        "scenario_id": "scen-0d30009c947f45c38dd40849c606a362",
        "scenario_name": "Network overview - Jan 25 to Dec 25",
        "description": "Based on 12 months existing historical data",
        "markets": [
          "Norway",
          "Argentina",
          "Kazakhstan",
          "Libya",
          "Panama",
          "Hong Kong",
          "Bulgaria",
          "Germany",
          "Ecuador",
          "Philippines",
          "Vietnam",
          "Croatia",
          "Kuwait",
          "Turkey",
          "Egypt",
          "France",
          "Czech Republic",
          "Belarus",
          "Finland",
          "Taiwan",
          "Estonia",
          "Denmark",
          "Singapore",
          "Russia",
          "Poland",
          "Colombia",
          "Serbia",
          "Costa Rica",
          "Brazil",
          "Mexico",
          "El Salvador",
          "Indonesia",
          "Paraguay",
          "South Africa",
          "New Zealand",
          "Slovakia",
          "Algeria",
          "Trinidad and Tobago",
          "Peru",
          "Switzerland",
          "Jordan",
          "Guatemala",
          "Slovenia",
          "Hungary",
          "Spain",
          "United States",
          "Ukraine",
          "Ireland",
          "Iraq",
          "Portugal",
          "Sweden",
          "Lithuania",
          "Honduras",
          "Lebanon",
          "Belgium",
          "Chile",
          "Romania",
          "Iran",
          "Canada",
          "Japan",
          "UK",
          "Tunisia",
          "Uruguay",
          "Netherlands",
          "Saudi Arabia",
          "Latvia",
          "Oman",
          "Bahrain",
          "Austria",
          "Italy",
          "Sri Lanka",
          "Thailand",
          "United Arab Emirates",
          "Israel",
          "Greece",
          "Azerbaijan",
          "India",
          "China",
          "Malaysia",
          "Australia"
        ],
        "brands": [
          "TAKHZYRO",
          "ADVATE",
          "AFIPRAN",
          "ACTOVEGIN",
          "LEUPRORELIN",
          "CALCIUM",
          "MELATONINA",
          "GLYCOSTIGMIN",
          "QDENGA",
          "BRENTUXIMAB",
          "GUTRON",
          "PRUCALOPRIDE",
          "LANSOPRAZOLE",
          "PREDNISOLON",
          "OBIZUR",
          "VPRIV",
          "ASAFLOW",
          "VONOPRAZAN",
          "FLEXBUMIN",
          "FACTOR VII",
          "ADYNOVATE",
          "ASACOL",
          "LANTHANUM",
          "PONATINIB",
          "CUVITRU",
          "FUROSEMID",
          "NORIPURUM",
          "ICATIBANT",
          "ATROPIN",
          "VORTIOXETINE",
          "GYNIPRAL",
          "ALBYL-E",
          "IMMUNATE",
          "AT-III",
          "ELAPRASE",
          "LISDEXAMFETAMINE",
          "ARALAST",
          "DOPAMIN",
          "RIOPAN",
          "VITAMIN B12",
          "AZILSARTAN MEDOXOMIL",
          "PANTOPRAZOLE",
          "ALBETOL",
          "CINRYZE",
          "PIOGLITAZONE",
          "GATTEX/REVESTIVE",
          "XEFO",
          "NYCOPLUS",
          "LIQUID HYQVIA",
          "ALOGLIPTIN",
          "OTHER BIOTHERAPEUTICS",
          "BRIGATINIB",
          "IXAZOMIB",
          "RECOMBINATE",
          "ANAGRELIDE",
          "CIRCADINE",
          "DEXLANSOPRAZOLE",
          "FLOWEASE",
          "GLASSIA",
          "MISCELLANEOUS PRODUCTS",
          "RAMELTEON",
          "REPLAGAL",
          "MESALAZINE",
          "VONVENDI",
          "HYDROCOBAMIN",
          "RIXUBIS",
          "FAKTU",
          "-",
          "LYSTHENON",
          "CONDYLINE",
          "FEIBA",
          "LEVOTHYROXIN",
          "KLORAMFENIKOL",
          "EUPHYLLIN",
          "GAMMAGARD",
          "WARFARIN",
          "ADZYNMA",
          "ADRENALIN",
          "HYDROCORTISONE",
          "ADDERALL XR",
          "PROTHROMBIN",
          "VEDOLIZUMAB",
          "POLICRESULEN",
          "MAGNYL",
          "LIQUID IGIV",
          "MEPACT",
          "CEDOCARD",
          "MARIBAVIR",
          "IMMUNINE",
          "PROTEIN C",
          "FERRUM",
          "GEWACALM",
          "ALBUMIN NG",
          "OTHER",
          "FRUQUINTINIB",
          "GUANFACINE",
          "EBRANTIL"
        ],
        "market_count": 80,
        "brand_count": 97,
        "forecast_version": "",
        "start_date": "2025-JAN",
        "end_date": "2025-DEC",
        "scoring_available": "processing",
        "users": [],
        "created_by": {
          "user_name": "PIC_NMT_SERVICE",
          "image_url": ""
        },
        "created_at": "2026-01-27T16:54:21.965650",
        "access_level": "global",
        "shared_with_user_emails": [],
        "volume_type": "Supply",
        "scen_stat_desc": "SUCCESS",
        "material_type": [
          "RAW",
          "PACK",
          "TRAD",
          "HALB",
          "FINI"
        ]
      }
    ]
  },
  "error": null
}</t>
  </si>
  <si>
    <t>TC_GetScenario_By_Id</t>
  </si>
  <si>
    <t>/nmt/api/v1/nmt/scenarios/scenario_ids={scenario_id}</t>
  </si>
  <si>
    <t xml:space="preserve">{
  "status": "Success",
  "data": {
    "is_baseline": true,
    "scenario_details": {
      "id":  "{scenario_id}"
      "name": "Api_Automation",
      "description": "test",
      "forecast_version": "2026-JAN",
      "start_date": "2026-JAN",
      "end_date": "2026-DEC",
      "access_level_type_description": "restricted",
      "user_id": [
        "soni.k-s@takeda.com",
        "naheeda.parveen@takeda.com"
      ]
    },
    "score_details": {
      "cost_score": null,
      "co2_score": null,
      "leadtime_score": null,
      "final_score": null,
      "bc_score": null,
      "risk_score": null
    },
    "artifact_data": {
      "lane_attributes": [
        {
          "source": "517499",
          "sink": "3811",
          "lats": [
            51.98196029663086,
            50.050270080566406
          ],
          "lons": [
            19.91139030456543,
            9.041939735412598
          ],
          "color": "Site-RDC",
          "country_color": "Poland-Germany",
          "volume": 2836,
          "skus": 1,
          "sku_set": [
            "1142668"
          ],
          "total_weight": 163.964,
          "transport_cost": 1209.9671021947238,
          "transport_cost_lo": 0,
          "transport_cost_up": 0,
          "transport_cost_road": 1209.9671021947238,
          "transport_cost_air": 0,
          "transport_cost_sea": 0,
          "transport_cost_warning_flag": false,
          "co2": 0.006623476157725194,
          "co2_road": 0.006623476157725194,
          "co2_air": 0,
          "co2_sea": 0,
          "num_shipments": 1,
          "controlled_shipments": 0,
          "cold_shipments": 0,
          "normal_shipments": 1,
          "num_shipments_air_amb": 0,
          "num_shipments_road_amb": 1,
          "num_shipments_sea_amb": 0,
          "num_shipments_air_cold": 0,
          "num_shipments_road_cold": 0,
          "num_shipments_sea_cold": 0,
          "volume_pallets": 1,
          "volume_air_amb": 0,
          "volume_road_amb": 1,
          "volume_sea_amb": 0,
          "volume_air_cold": 0,
          "volume_road_cold": 0,
          "volume_sea_cold": 0,
          "aws_road_flag": true,
          "sea_flag": true,
          "road_distance": 990.0960083007812,
          "sea_distance": 1166.69,
          "sea_road_part": 433.132,
          "air_distance": 993.3475704964529,
          "air_road_part": 134.593,
          "transp_lead_time_average": 1.9801920166015625,
          "lt_sea": 7.913088561403509,
          "lt_road": 1.9801920166015625,
          "lt_air": 2.3354091713664302,
          "certainty_score": 0.6930960086299892,
          "aggr_level_air_amb": null,
          "aggr_level_road_amb": "city-&gt;city",
          "aggr_level_sea_amb": null,
          "aggr_level_air_cold": null,
          "aggr_level_road_cold": null,
          "aggr_level_sea_cold": null,
          "consolidation_score": 0.8236914600550964,
          "has_road": true,
          "has_air": false,
          "has_sea": false,
          "u_description": "517499 - Orifarm Manufacturing Poland Sp. z, Lyszkowice",
          "v_description": "3811 - RDC Germany TOF, Alzenau, Trans-O-Flex",
          "u_city": "LYSZKOWICE, Poland",
          "v_city": "ALZENAU, Germany",
          "is_sanctioned_lane": false,
          "source_subregion": "Central-South Eastern Europe",
          "source_region": "EU &amp; Canada",
          "destination_subregion": "Germany",
          "destination_region": "EU &amp; Canada",
          "consolidated_air": 0,
          "consolidated_sea": 0,
          "consolidated_road": 0,
          "enforced_air": 0,
          "enforced_sea": 0,
          "enforced_road": 0,
          "source_closest_airports": null,
          "target_closest_airports": null,
          "source_closest_seaports": null,
          "target_closest_seaports": null,
          "ship_sol_weight": 0,
          "shipping_solutions":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"Poland",
          "destination_country": "Germany",
          "volume_breakdown": [
            {
              "volume": 2836,
              "unit": "PC"
            }
          ]
        },
        {
          "source": "3811",
          "sink": "43",
          "lats": [
            50.050270080566406,
            52.29304122924805
          ],
          "lons": [
            9.041939735412598,
            4.697000026702881
          ],
          "color": "RDC-LOC",
          "country_color": "Germany-Netherlands",
          "volume": 4238.142868041992,
          "skus": 1,
          "sku_set": [
            "1142668"
          ],
          "total_weight": 232.66900053405763,
          "transport_cost": 741.8847557432671,
          "transport_cost_lo": 0,
          "transport_cost_up": 0,
          "transport_cost_road": 741.8847557432671,
          "transport_cost_air": 0,
          "transport_cost_sea": 0,
          "transport_cost_warning_flag": false,
          "co2": 0.004606095120276595,
          "co2_road": 0.004606095120276595,
          "co2_air": 0,
          "co2_sea": 0,
          "num_shipments": 1,
          "controlled_shipments": 0,
          "cold_shipments": 0,
          "normal_shipments": 1,
          "num_shipments_air_amb": 0,
          "num_shipments_road_amb": 1,
          "num_shipments_sea_amb": 0,
          "num_shipments_air_cold": 0,
          "num_shipments_road_cold": 0,
          "num_shipments_sea_cold": 0,
          "volume_pallets": 1,
          "volume_air_amb": 0,
          "volume_road_amb": 1,
          "volume_sea_amb": 0,
          "volume_air_cold": 0,
          "volume_road_cold": 0,
          "volume_sea_cold": 0,
          "aws_road_flag": true,
          "sea_flag": true,
          "road_distance": 485.2149963378906,
          "sea_distance": 403.134,
          "sea_road_part": 502.06100000000004,
          "air_distance": 460.7411613109879,
          "air_road_part": 64.27091748867335,
          "transp_lead_time_average": 0.9704299926757812,
          "lt_sea": 6.7113746315789475,
          "lt_road": 0.9704299926757812,
          "lt_air": 2.159257912398079,
          "certainty_score": 0.29817286947141314,
          "aggr_level_air_amb": null,
          "aggr_level_road_amb": "city-&gt;country",
          "aggr_level_sea_amb": null,
          "aggr_level_air_cold": null,
          "aggr_level_road_cold": null,
          "aggr_level_sea_cold": null,
          "consolidation_score": 0.5075757575757576,
          "has_road": true,
          "has_air": false,
          "has_sea": false,
          "u_description": "3811 - RDC Germany TOF, Alzenau, Trans-O-Flex",
          "v_description": "43 - LOC Netherlands, EDE",
          "u_city": "ALZENAU, Germany",
          "v_city": "EDE, Netherlands",
          "is_sanctioned_lane": false,
          "source_subregion": "Germany",
          "source_region": "EU &amp; Canada",
          "destination_subregion": "Central-South Eastern Europe",
          "destination_region": "EU &amp; Canada",
          "consolidated_air": 0,
          "consolidated_sea": 0,
          "consolidated_road": 0,
          "enforced_air": 0,
          "enforced_sea": 0,
          "enforced_road": 0,
          "source_closest_airports": null,
          "target_closest_airports": null,
          "source_closest_seaports": null,
          "target_closest_seaports": null,
          "ship_sol_weight": 0,
          "shipping_solutions":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"Germany",
          "destination_country": "Netherlands",
          "volume_breakdown": [
            {
              "volume": 4238.142868041992,
              "unit": "PC"
            }
          ]
        },
        {
          "source": "20",
          "sink": "LU",
          "lats": [
            50.89282989501953,
            49.815868
          ],
          "lons": [
            4.462500095367432,
            6.129675
          ],
          "color": "LOC-Wholes./Distrib.",
          "country_color": "Belgium-Luxembourg",
          "volume": 36681,
          "skus": 1,
          "sku_set": [
            "6062079"
          ],
          "total_weight": 985.2579999999999,
          "transport_cost": 2893.398652021412,
          "transport_cost_lo": 0,
          "transport_cost_up": 0,
          "transport_cost_road": 2893.398652021412,
          "transport_cost_air": 0,
          "transport_cost_sea": 0,
          "transport_cost_warning_flag": false,
          "co2": 0.02072473434099191,
          "co2_road": 0.02072473434099191,
          "co2_air": 0,
          "co2_sea": 0,
          "num_shipments": 7,
          "controlled_shipments": 0,
          "cold_shipments": 0,
          "normal_shipments": 7,
          "num_shipments_air_amb": 0,
          "num_shipments_road_amb": 7,
          "num_shipments_sea_amb": 0,
          "num_shipments_air_cold": 0,
          "num_shipments_road_cold": 0,
          "num_shipments_sea_cold": 0,
          "volume_pallets": 13,
          "volume_air_amb": 0,
          "volume_road_amb": 13,
          "volume_sea_amb": 0,
          "volume_air_cold": 0,
          "volume_road_cold": 0,
          "volume_sea_cold": 0,
          "aws_road_flag": true,
          "sea_flag": true,
          "road_distance": 203.09921823018118,
          "sea_distance": 70.418,
          "sea_road_part": 222.9862289968481,
          "air_distance": 262.89618669230276,
          "air_road_part": 126.43299999999999,
          "transp_lead_time_average": 0.4061984364603624,
          "lt_sea": 5.569512808870889,
          "lt_road": 0.40619843646036236,
          "lt_air": 2.2703924124461534,
          "certainty_score": 0.266647996016928,
          "aggr_level_air_amb": null,
          "aggr_level_road_amb": "country-&gt;subregion",
          "aggr_level_sea_amb": null,
          "aggr_level_air_cold": null,
          "aggr_level_road_cold": null,
          "aggr_level_sea_cold": null,
          "consolidation_score": 0.19450056116722786,
          "has_road": true,
          "has_air": false,
          "has_sea": false,
          "u_description": "20 - LOC Belgium, Beersel(Lot)",
          "v_description": "Luxembourg Wholes./Cust.",
          "u_city": "BEERSEL(LOT), Belgium",
          "v_city": ", Luxembourg",
          "is_sanctioned_lane": false,
          "source_subregion": "Central-South Eastern Europe",
          "source_region": "EU &amp; Canada",
          "destination_subregion": "Central-South Eastern Europe",
          "destination_region": "EU &amp; Canada",
          "consolidated_air": 0,
          "consolidated_sea": 0,
          "consolidated_road": 0,
          "enforced_air": 0,
          "enforced_sea": 0,
          "enforced_road": 0,
          "source_closest_airports": null,
          "target_closest_airports": null,
          "source_closest_seaports": null,
          "target_closest_seaports": null,
          "ship_sol_weight": 0,
          "shipping_solutions":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"Belgium",
          "destination_country": "Luxembourg",
          "volume_breakdown": [
            {
              "volume": 36681,
              "unit": "PC"
            }
          ]
        },
        {
          "source": "3811",
          "sink": "100",
          "lats": [
            50.050270080566406,
            55.628021240234375
          ],
          "lons": [
            9.041939735412598,
            12.385540008544922
          ],
          "color": "RDC-LOC",
          "country_color": "Germany-Denmark",
          "volume": 0,
          "skus": 1,
          "sku_set": [
            "6228081"
          ],
          "total_weight": 0,
          "transport_cost": 0,
          "transport_cost_lo": 0,
          "transport_cost_up": 0,
          "transport_cost_road": 0,
          "transport_cost_air": 0,
          "transport_cost_sea": 0,
          "transport_cost_warning_flag": false,
          "co2": 0,
          "co2_road": 0,
          "co2_air": 0,
          "co2_sea": 0,
          "num_shipments": 0,
          "controlled_shipments": 0,
          "cold_shipments": 0,
          "normal_shipments": 0,
          "num_shipments_air_amb": 0,
          "num_shipments_road_amb": 0,
          "num_shipments_sea_amb": 0,
          "num_shipments_air_cold": 0,
          "num_shipments_road_cold": 0,
          "num_shipments_sea_cold": 0,
          "volume_pallets": 0,
          "volume_air_amb": 0,
          "volume_road_amb": 0,
          "volume_sea_amb": 0,
          "volume_air_cold": 0,
          "volume_road_cold": 0,
          "volume_sea_cold": 0,
          "aws_road_flag": true,
          "sea_flag": true,
          "road_distance": 805.625,
          "sea_distance": 813.914,
          "sea_road_part": 756.268,
          "air_distance": 775.1073137575298,
          "air_road_part": 74.943,
          "transp_lead_time_average": 0,
          "lt_sea": 7.940455298245614,
          "lt_road": 1.61125,
          "lt_air": 2.2015598209171685,
          "certainty_score": 0,
          "aggr_level_air_amb": null,
          "aggr_level_road_amb": null,
          "aggr_level_sea_amb": null,
          "aggr_level_air_cold": null,
          "aggr_level_road_cold": null,
          "aggr_level_sea_cold": null,
          "consolidation_score": 0,
          "has_road": false,
          "has_air": false,
          "has_sea": false,
          "u_description": "3811 - RDC Germany TOF, Alzenau, Trans-O-Flex",
          "v_description": "100 - LOC Hobro &amp; LOC Denmark, Køge",
          "u_city": "ALZENAU, Germany",
          "v_city": "KØGE, Denmark",
          "is_sanctioned_lane": false,
          "source_subregion": "Germany",
          "source_region": "EU &amp; Canada",
          "destination_subregion": "Nordics",
          "destination_region": "EU &amp; Canada",
          "consolidated_air": 0,
          "consolidated_sea": 0,
          "consolidated_road": 0,
          "enforced_air": 0,
          "enforced_sea": 0,
          "enforced_road": 0,
          "source_closest_airports": null,
          "target_closest_airports": null,
          "source_closest_seaports": null,
          "target_closest_seaports": null,
          "ship_sol_weight": 0,
          "shipping_solutions":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"Germany",
          "destination_country": "Denmark",
          "volume_breakdown": [
            {
              "volume": 0,
              "unit": "PC"
            }
          ]
        },
        {
          "source": "20",
          "sink": "43",
          "lats": [
            50.89282989501953,
            52.29304122924805
          ],
          "lons": [
            4.462500095367432,
            4.697000026702881
          ],
          "color": "LOC-LOC",
          "country_color": "Belgium-Netherlands",
          "volume": 1575.1428451538086,
          "skus": 1,
          "sku_set": [
            "1142668"
          ],
          "total_weight": 102.18199941253663,
          "transport_cost": 350.6365843319055,
          "transport_cost_lo": 0,
          "transport_cost_up": 0,
          "transport_cost_road": 350.6365843319055,
          "transport_cost_air": 0,
          "transport_cost_sea": 0,
          "transport_cost_warning_flag": false,
          "co2": 0.0008348431730577038,
          "co2_road": 0.0008348431730577038,
          "co2_air": 0,
          "co2_sea": 0,
          "num_shipments": 1,
          "controlled_shipments": 0,
          "cold_shipments": 0,
          "normal_shipments": 1,
          "num_shipments_air_amb": 0,
          "num_shipments_road_amb": 1,
          "num_shipments_sea_amb": 0,
          "num_shipments_air_cold": 0,
          "num_shipments_road_cold": 0,
          "num_shipments_sea_cold": 0,
          "volume_pallets": 1,
          "volume_air_amb": 0,
          "volume_road_amb": 1,
          "volume_sea_amb": 0,
          "volume_air_cold": 0,
          "volume_road_cold": 0,
          "volume_sea_cold": 0,
          "aws_road_flag": true,
          "sea_flag": true,
          "road_distance": 200.24899291992188,
          "sea_distance": 70.9654,
          "sea_road_part": 86.1042289968481,
          "air_distance": 252.6587978844417,
          "air_road_part": 16.030917488673353,
          "transp_lead_time_average": 0.40049798583984375,
          "lt_sea": 5.296709159748082,
          "lt_road": 0.40049798583984375,
          "lt_air": 2.0489057548363094,
          "certainty_score": 0.4011596548004314,
          "aggr_level_air_amb": null,
          "aggr_level_road_amb": "country-&gt;country",
          "aggr_level_sea_amb": null,
          "aggr_level_air_cold": null,
          "aggr_level_road_cold": null,
          "aggr_level_sea_cold": null,
          "consolidation_score": 0.20168350168350166,
          "has_road": true,
          "has_air": false,
          "has_sea": false,
          "u_description": "20 - LOC Belgium, Beersel(Lot)",
          "v_description": "43 - LOC Netherlands, EDE",
          "u_city": "BEERSEL(LOT), Belgium",
          "v_city": "EDE, Netherlands",
          "is_sanctioned_lane": false,
          "source_subregion": "Central-South Eastern Europe",
          "source_region": "EU &amp; Canada",
          "destination_subregion": "Central-South Eastern Europe",
          "destination_region": "EU &amp; Canada",
          "consolidated_air": 0,
          "consolidated_sea": 0,
          "consolidated_road": 0,
          "enforced_air": 0,
          "enforced_sea": 0,
          "enforced_road": 0,
          "source_closest_airports": null,
          "target_closest_airports": null,
          "source_closest_seaports": null,
          "target_closest_seaports": null,
          "ship_sol_weight": 0,
          "shipping_solutions":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"Belgium",
          "destination_country": "Netherlands",
          "volume_breakdown": [
            {
              "volume": 1575.1428451538086,
              "unit": "PC"
            }
          ]
        },
        {
          "source": "143285",
          "sink": "3811",
          "lats": [
            32.110107421875,
            50.050270080566406
          ],
          "lons": [
            34.83861541748047,
            9.041939735412598
          ],
          "color": "Site-RDC",
          "country_color": "Israel-Germany",
          "volume": 1305955.30859375,
          "skus": 2,
          "sku_set": [
            "6228081",
            "6062079"
          ],
          "total_weight": 104806.1955546875,
          "transport_cost": 370162.84511882346,
          "transport_cost_lo": 0,
          "transport_cost_up": 0,
          "transport_cost_road": 0,
          "transport_cost_air": 216990.7779739139,
          "transport_cost_sea": 153172.06714490947,
          "transport_cost_warning_flag": false,
          "co2": 166.4179686958179,
          "co2_road": 0,
          "co2_air": 163.9056468449986,
          "co2_sea": 2.512321850819271,
          "num_shipments": 56,
          "controlled_shipments": 0,
          "cold_shipments": 0,
          "normal_shipments": 56,
          "num_shipments_air_amb": 33,
          "num_shipments_road_amb": 0,
          "num_shipments_sea_amb": 23,
          "num_shipments_air_cold": 0,
          "num_shipments_road_cold": 0,
          "num_shipments_sea_cold": 0,
          "volume_pallets": 436,
          "volume_air_amb": 109,
          "volume_road_amb": 0,
          "volume_sea_amb": 327,
          "volume_air_cold": 0,
          "volume_road_cold": 0,
          "volume_sea_cold": 0,
          "aws_road_flag": true,
          "sea_flag": true,
          "road_distance": 4106.22021484375,
          "sea_distance": 6854.1,
          "sea_road_part": 478.504,
          "air_distance": 3049.2419650209126,
          "air_road_part": 78.319,
          "transp_lead_time_average": 14.076288830995964,
          "lt_sea": 17.981744842105265,
          "lt_road": 8.2124404296875,
          "lt_air": 2.3599207976680607,
          "certainty_score": 0.1579572160579442,
          "aggr_level_air_amb": "region-&gt;region",
          "aggr_level_road_amb": null,
          "aggr_level_sea_amb": "region-&gt;region",
          "aggr_level_air_cold": null,
          "aggr_level_road_cold": null,
          "aggr_level_sea_cold": null,
          "consolidation_score": 0.506424660120846,
          "has_road": false,
          "has_air": true,
          "has_sea": true,
          "u_description": "143285 - Neurim Pharmaceuticals (1991) Ltd., Tel Aviv",
          "v_description": "3811 - RDC Germany TOF, Alzenau, Trans-O-Flex",
          "u_city": "TEL AVIV, Israel",
          "v_city": "ALZENAU, Germany",
          "is_sanctioned_lane": false,
          "source_subregion": "Central-South Eastern Europe",
          "source_region": "EU &amp; Canada",
          "destination_subregion": "Germany",
          "destination_region": "EU &amp; Canada",
          "consolidated_air": 0,
          "consolidated_sea": 0,
          "consolidated_road": 0,
          "enforced_air": 0,
          "enforced_sea": 0,
          "enforced_road": 0,
          "source_closest_airports": null,
          "target_closest_airports": null,
          "source_closest_seaports": null,
          "target_closest_seaports": null,
          "ship_sol_weight": 70414,
          "shipping_solutions": [
            {
              "ship_sol_std_nm": "csafe_rkn",
              "tot_shipped_pallets": 109,
              "ratio": 1,
              "ship_sol_cat": null,
              "full_ship_sol_nm": "cSafe RKN",
              "ship_sol_prop": 0,
              "temperature": null
            }
          ],
          "suggested_shipping_solutions": [
            {
              "ship_sol_std_nm": "csafe_rkn",
              "tot_shipped_pallets": 0,
              "ratio": 0,
              "ship_sol_cat": "Small Active Container",
              "full_ship_sol_nm": "cSafe RKN",
              "ship_sol_prop": 1,
              "temperature": "Ambient"
            },
            {
              "ship_sol_std_nm": "blanket_ecosafe_plus",
              "tot_shipped_pallets": 0,
              "ratio": 0,
              "ship_sol_cat": "Thermal Blanket",
              "full_ship_sol_nm": "Thermal Blankets EcoSafe +",
              "ship_sol_prop": 0,
              "temperature": "Ambient"
            },
            {
              "ship_sol_std_nm": "envirotainer_rkn_t2",
              "tot_shipped_pallets": 0,
              "ratio": 0,
              "ship_sol_cat": "Small Passive Container",
              "full_ship_sol_nm": "Envirotainer RKN T2",
              "ship_sol_prop": 0.5,
              "temperature": "Cold"
            },
            {
              "ship_sol_std_nm": "envirotainer_rkn_e1",
              "tot_shipped_pallets": 0,
              "ratio": 0,
              "ship_sol_cat": "Small Active Container",
              "full_ship_sol_nm": "Envirotainer RKN E1",
              "ship_sol_prop": 0.5,
              "temperature": "Cold"
            },
            {
              "ship_sol_std_nm": "envirotainer_rap_e2",
              "tot_shipped_pallets": 0,
              "ratio": 0,
              "ship_sol_cat": "Large Active Container",
              "full_ship_sol_nm": "Envirotainer RAP E2",
              "ship_sol_prop": 0,
              "temperature": "Cold"
            }
          ],
          "material_type": [
            "T - Traded Goods"
          ],
          "origin_country": "Israel",
          "destination_country": "Germany",
          "volume_breakdown": [
            {
              "volume": 1305955.30859375,
              "unit": "PC"
            }
          ]
        },
        {
          "source": "3811",
          "sink": "20",
          "lats": [
            50.050270080566406,
            50.89282989501953
          ],
          "lons": [
            9.041939735412598,
            4.462500095367432
          </t>
  </si>
  <si>
    <t>TC_GetStatus</t>
  </si>
  <si>
    <t>/nmt/api/v1/status/</t>
  </si>
  <si>
    <t>{
  "message": "OK"
}</t>
  </si>
  <si>
    <t>TC_Update_NmtScenario</t>
  </si>
  <si>
    <t>/nmt/api/v1/nmt/scenarios/{scenario_id}</t>
  </si>
  <si>
    <t>PATCH</t>
  </si>
  <si>
    <t>{
  "no_advance_calculation": true,
  "transport_lane_calculation": false,
  "scenario_name": "string",
  "scenario_description": "string",
  "users": [
    "string"
  ],
  "access_level": "string",
  "forecast_version": "string",
  "start_date": "string",
  "end_date": "string",
  "volume_type": "Demand",
  "validation_params": {
    "lanes": [
      {
        "source": "string",
        "sink": "string",
        "lats": [
          0
        ],
        "lons": [
          0
        ],
        "color": "string",
        "country_color": "string",
        "volume": 0,
        "skus": 0,
        "sku_set": "string",
        "total_weight": 0,
        "transport_cost": 0,
        "transport_cost_lo": 0,
        "transport_cost_up": 0,
        "transport_cost_road": 0,
        "transport_cost_air": 0,
        "transport_cost_sea": 0,
        "transport_cost_warning_flag": true,
        "co2": 0,
        "co2_road": 0,
        "co2_air": 0,
        "co2_sea": 0,
        "num_shipments": 0,
        "controlled_shipments": 0,
        "cold_shipments": 0,
        "normal_shipments": 0,
        "num_shipments_air_amb": 0,
        "num_shipments_road_amb": 0,
        "num_shipments_sea_amb": 0,
        "num_shipments_air_cold": 0,
        "num_shipments_road_cold": 0,
        "num_shipments_sea_cold": 0,
        "volume_pallets": 0,
        "volume_air_amb": 0,
        "volume_road_amb": 0,
        "volume_sea_amb": 0,
        "volume_air_cold": 0,
        "volume_road_cold": 0,
        "volume_sea_cold": 0,
        "aws_road_flag": true,
        "sea_flag": true,
        "road_distance": 0,
        "sea_distance": 0,
        "sea_road_part": 0,
        "air_distance": 0,
        "air_road_part": 0,
        "transp_lead_time_average": 0,
        "lt_sea": 0,
        "lt_road": 0,
        "lt_air": 0,
        "certainty_score": 0,
        "aggr_level_air_amb": "string",
        "aggr_level_road_amb": "string",
        "aggr_level_sea_amb": "string",
        "aggr_level_air_cold": "string",
        "aggr_level_road_cold": "string",
        "aggr_level_sea_cold": "string",
        "consolidation_score": 0,
        "has_road": true,
        "has_air": true,
        "has_sea": true,
        "u_description": "string",
        "v_description": "string",
        "u_city": "string",
        "v_city": "string",
        "is_sanctioned_lane": true,
        "source_subregion": "string",
        "source_region": "string",
        "destination_subregion": "string",
        "destination_region": "string",
        "consolidated_air": 0,
        "consolidated_sea": 0,
        "consolidated_road": 0,
        "enforced_air": 0,
        "enforced_sea": 0,
        "enforced_road": 0,
        "source_closest_airports": {},
        "target_closest_airports": {},
        "source_closest_seaports": {},
        "target_closest_seaports": {},
        "ship_sol_weight": 0,
        "shipping_solutions": [],
        "suggested_shipping_solutions": [],
        "material_type": [],
        "origin_country": "string",
        "destination_country": "string",
        "volume_breakdown": []
      }
    ],
    "selected_rows": [
      "string"
    ],
    "air_defined": 0,
    "sea_defined": 0,
    "road_defined": 0,
    "mode": "string",
    "consolidation": 0,
    "shipments_enforced": 0,
    "shipping_solutions": []
  },
  "flows": [
    {
      "nodes": [
        {
          "site_id": "string",
          "description": "string",
          "country": "string"
        }
      ],
      "routed_nodes": [
        "string"
      ],
      "market_iso2": "string",
      "trade_name": "string",
      "operating_unit": "string",
      "temperature_range": "string",
      "controlled_drugs": "string",
      "plm_status": "string",
      "sku_description": "string",
      "country_description": "string",
      "gross_weight": 0,
      "quantity_per_pal": 0,
      "tariff_details": [],
      "quantity_demand": [
        {
          "lane_id": "string",
          "volume": 0
        }
      ],
      "quantity_supply": [
        {
          "lane_id": "string",
          "volume": 0
        }
      ],
      "material_text": "string",
      "customer_code_in_ibp": "string",
      "finance_country_code": "string",
      "unit_of_measure": "string",
      "material_type": "string",
      "weight_unit": "string",
      "material_clean": "string",
      "temperature_detailed": "string",
      "flow_type": "Scope",
      "region_description": "string",
      "sub_region_description": "string",
      "node_version_ids": [
        "string"
      ],
      "distrib_sites": "string",
      "flow_key": 0,
      "index": "string",
      "distribuition_site_1": "",
      "distribuition_site_2": "",
      "distribuition_site_3": "",
      "distribuition_site_4": "",
      "distribuition_site_5": ""
    }
  ],
  "edited_flows": [
    {
      "index": "string",
      "new_distrib_sites": "string"
    }
  ],
  "reroute_flows": [
    {
      "template_index": [
        "string"
      ],
      "mode": "string",
      "nodes": [
        "string"
      ]
    }
  ],
  "lanes": [
    {
      "from_lane": "string",
      "to_lane": "string",
      "temperature": "string",
      "air": 0,
      "road": 0,
      "sea": 0,
      "air_cons": 0,
      "road_cons": 0,
      "sea_cons": 0,
      "air_shipments": 0,
      "road_shipments": 0,
      "sea_shipments": 0,
      "air_ship_sol": {
        "additionalProp1": 0,
        "additionalProp2": 0,
        "additionalProp3": 0
      }
    }
  ],
  "updated_lanes": [
    {
      "updated_type": "string",
      "number_of_pallets": 0,
      "number_of_shipments": 0,
      "number_of_lanes": 0,
      "affected_rows": [
        "string"
      ],
      "change": "string",
      "air_defined": 0,
      "sea_defined": 0,
      "road_defined": 0,
      "mode": "string",
      "consolidation": 0,
      "shipments_enforced": 0
    }
  ],
  "custom_node": [
    {
      "node_id": "string",
      "node_type": "string",
      "node_sub_type": "string",
      "node_country": "string",
      "node_postal_code": "string",
      "node_address": "string",
      "node_city": "string",
      "node_description": "string",
      "node_iso": "string",
      "node_latitude": 0,
      "node_longitude": 0,
      "distance_from_node": [
        {
          "nodes": [
            "string"
          ],
          "units_of_measure": "kilometer",
          "distance": 0
        }
      ]
    }
  ],
  "tariff_changes": [],
  "warehouse_changes": {
    "brand": [
      {}
    ],
    "node": [
      {}
    ]
  }
}</t>
  </si>
  <si>
    <t>{
  "status": "Success",
  "data": {
    "scenario_id": "{scenario_id}"
    "task_id": "{task_id}",
    "message": "Record updated successfully",
    "details": null
  },
  "error": null
}</t>
  </si>
  <si>
    <t>TC_Get_Brands_Market</t>
  </si>
  <si>
    <t>/nmt/api/v1/nmt/scenarios/{scenario_id}/brands-markets?has_brands=true&amp;has_markets=true</t>
  </si>
  <si>
    <t>{
  "status": "Success",
  "data": {
    "scenario_details": {
      "brands": [
        "OTHER BIOTHERAPEUTICS",
        "CUVITRU",
        "ADVATE",
        "GAMMAGARD KIOVIG LIQUID"
      ],
      "markets": [
        "Argentina",
        "Switzerland",
        "Germany"
      ]
    }
  },
  "error": null
}</t>
  </si>
  <si>
    <t>TC No</t>
  </si>
  <si>
    <t>Team Name</t>
  </si>
  <si>
    <t>QE Resource</t>
  </si>
  <si>
    <t>Extracted_Key</t>
  </si>
  <si>
    <t>AI_Chat</t>
  </si>
  <si>
    <t>Alok Kumar</t>
  </si>
  <si>
    <t>/genai/graphql</t>
  </si>
  <si>
    <t>verifyCreateConversation</t>
  </si>
  <si>
    <t>{"query":"mutation MyMutation {\n  create_conversation(\n    inputs: {scope_id: \"04b7fc60-63bd-44d7-bcbf-09d1476fa0aa\", conversation_name: \"Created Conv by Automation\", conversation_id: \"{conversation_id}\", created_timestamp: \"{current_timeStamp}\", owned_by_user_id: 50395262, shared_by_user_id : 50395262}\n  ) {\n    data {\n      conversation_id\n      conv_own_emp_id\n      conversation_name\n      created_timestamp\n      last_msg_timestamp\n    scope_id\n shared_by_user_id\n }\n    message\n    status\n    }\n}"}</t>
  </si>
  <si>
    <t>{"data":{"create_conversation":{"data":[{"conversation_id":"{conversation_id}","conv_own_emp_id":50395262,"conversation_name":"Created Conv by Automation","scope_id":"04b7fc60-63bd-44d7-bcbf-09d1476fa0aa","shared_by_user_id":50395262}],"message":"Conversation created successfully","status":"Created"}}}</t>
  </si>
  <si>
    <t>verifyCreateMessage</t>
  </si>
  <si>
    <t>{"query":"mutation MyMutation { create_message( input: {prompt: \"{\\\"task\\\": \\\"\\\", \\\"scope\\\": \\\"\\\", \\\"context\\\": \\\"\\\", \\\"user_text\\\": \\\"What is PIC?\\\", \\\"custom_instruction\\\": \\\"\\\"}\", response: \"{\\\"long_response\\\": {\\\"graph\\\": [], \\\"table\\\": []}, \\\"short_response\\\": \\\"## Predictive Insights Center (PIC)\\\\n\\\\nThe **Predictive Insights Center (PIC)** is a strategic initiative driving Takeda's digital transformation through:\\\\n\\\\n- **Centralized Data Platform**: Unifies data from GMS/GQ systems into one source\\\\n- **AI Integration**: Provides automated, AI-driven prescriptive analytics\\\\n- **Cross-Functional Collaboration**: Bridges data silos between teams and departments\\\\n- **Decision Support**: Enables proactive, predictive decision-making\\\\n\\\\n### Key Features:\\\\n- Replaces fragmented tools with integrated digital solutions\\\\n- Facilitates end-to-end process orchestration\\\\n- Embeds AI for advanced predictive analytics\\\\n- Aims for faster, smarter operational decisions\\\\n\\\\n*Vision 2030 Goal*: Establish a single-source-of-truth environment for enterprise-wide insights.\\\", \\\"reasoning_response\\\": \\\"\\\"}\", prompt_datetime: \"{current_timeStamp}\", response_datetime: \"{current_timeStamp}\", prompt_emp_id: 50395262, conversation_id: \"{conversation_id}\", task_id: \"cc5f121d-f478-4f83-a88e-f092ae29e921\"} ) { message status data { message_id prompt response task_id user_rating conversation_id } }}"}</t>
  </si>
  <si>
    <t>{"data":{"create_message":{"message":"Message created successfully","status":"Created","data":[{"message_id":"{message_id}","prompt":{"task":"","scope":"","context":"","user_text":"What is PIC?","custom_instruction":""},"response":{"long_response":{"graph":[],"table":[]},"reasoning_response":""},"task_id":"cc5f121d-f478-4f83-a88e-f092ae29e921","conversation_id":"{conversation_id}"}]}}}</t>
  </si>
  <si>
    <t>verifyFetchConversation</t>
  </si>
  <si>
    <t>{"operationName":"GetConversationName","variables":{},"query":"query GetConversationName {\n  fetch_conversations(\n    conversation_ids: \"{conversation_id}\"\n    for_current_user: true\n    scope_id: \"04b7fc60-63bd-44d7-bcbf-09d1476fa0aa\"\n  ) {\n    conversations {\n      conversation_id\n      conversation_name\n      __typename\n    }\n    __typename\n  }\n}"}</t>
  </si>
  <si>
    <t>{"data":{"fetch_conversations":{"conversations":[{"conversation_id":"{conversation_id}","__typename":"Conversation"}],"__typename":"PaginatedConversations"}}}</t>
  </si>
  <si>
    <t>verifyFetchMessage</t>
  </si>
  <si>
    <t>{"operationName":"UserGroupMemberId","variables":{},"query":"query UserGroupMemberId {\n  fetch_messages(\n    conversation_ids: [\"{conversation_id}\"]\n    for_current_user: true\n    task_id: \"cc5f121d-f478-4f83-a88e-f092ae29e921\"\n  ) {\n    messages {\n      message_id\n      conversation_id\n      prompt\n      prompt_created_ts\n      response\n      response_created_ts\n      src_type\n      user_rating\n      prompted_by_emp_id\n      gen_ai_audit\n      task_id\n      __typename\n    }\n    page_info {\n      has_next_page\n      has_previous_page\n      start_cursor\n      end_cursor\n      __typename\n    }\n    __typename\n  }\n}"}</t>
  </si>
  <si>
    <t>{"data":{"fetch_messages":{"messages":[{"message_id":"{message_id}","conversation_id":"{conversation_id}","prompt":{"task":"","scope":"","context":"","user_text":"What is PIC?","custom_instruction":""},"response":{"long_response":{"graph":[],"table":[]},"reasoning_response":""},"src_type":"GEN_AI","prompted_by_emp_id":"50395262","task_id":"cc5f121d-f478-4f83-a88e-f092ae29e921"}],"page_info":{"has_next_page":false,"has_previous_page":false}}}}</t>
  </si>
  <si>
    <t>verifyUpdateConversation</t>
  </si>
  <si>
    <t>{"operationName":"UpdateConversation","variables":{},"query":"mutation UpdateConversation {\n  update_conversation(\n    inputs: {scope_id: \"04b7fc60-63bd-44d7-bcbf-09d1476fa0aa\", conversation_name: \"Updated Conv by Automation\", conversation_id: \"{conversation_id}\"}\n  ) {\n    message\n    status\n    __typename\n  }\n}"}</t>
  </si>
  <si>
    <t>{"data":{"update_conversation":{"message":"Conversation updated successfully","status":"Updated","__typename":"ConversationResponse"}}}</t>
  </si>
  <si>
    <t>verifyUpdateMessage</t>
  </si>
  <si>
    <t>{"operationName":"MyMutation","variables":{},"query":"mutation MyMutation {\n  update_message(\n    input: {message_id: \"{message_id}\", user_rating: 3}\n  ) {\n    data {\n      conversation_id\n      user_rating\n      message_id\n      task_id\n      __typename\n    }\n    message\n    status\n    __typename\n  }\n}"}</t>
  </si>
  <si>
    <t>{"data":{"update_message":{"data":[{"conversation_id":"{conversation_id}","user_rating":3,"message_id":"{message_id}","task_id":"cc5f121d-f478-4f83-a88e-f092ae29e921","__typename":"MessageResponse"}],"message":"Message updated successfully","status":"Updated","__typename":"StandardResponse"}}}</t>
  </si>
  <si>
    <t>TC1_ Make_Vienna_Create_Raw_Txn</t>
  </si>
  <si>
    <t>/kpi/api/v1/metrics/metric-raw-txn-details</t>
  </si>
  <si>
    <t>{"dimensions":{"Opu":"PLASMA","site":"VIENNA","prod_brand_nm":"PROTEIN C","proc_stg":"FDP"},"work_order":5761787,"work_order_request_date":null,"material_description":null,"lot_number":"A1A305AA","packaging_line":null,"product_group":null,"actual_data":{"packaging":{"end_date":"2025-03-07T09:00:00","admin":"vikram-kumar.sinha@takeda.com"},"finishing":{"end_date":"2025-03-09T06:17:00","admin":"vikram-kumar.sinha@takeda.com"},"qa_review":{"end_date":"2025-03-12T08:58:00","admin":"vikram-kumar.sinha@takeda.com"},"mfg_approval":{"end_date":"2025-04-12T15:15:15","admin":"vikram-kumar.sinha@takeda.com"},"qa_approval":{"end_date":"2025-04-14T08:00:00","admin":"vikram-kumar.sinha@takeda.com"}},"first_defect_date_qa_review":"2025-03-12T08:58:00","defects_count_total_doc_errors_per_batch":null,"urgent_flag":"N","comment":null,"deviation_number":null,"reason_for_delay":null}</t>
  </si>
  <si>
    <t>{"status":"Success","data":{"message":"Metrics Raw Transactions details created/updated successfully."},"error":null}</t>
  </si>
  <si>
    <t>""</t>
  </si>
  <si>
    <t>TC2_ Make_Vienna_Create_Raw_Txn</t>
  </si>
  <si>
    <t>{"dimensions":{"Opu":"PLASMA","site":"VIENNA","prod_brand_nm":"PROTEIN C","proc_stg":"FDP"},"work_order":5761787,"work_order_request_date":null,"material_description":null,"lot_number":"A1B134AAP1","packaging_line":null,"product_group":null,"actual_data":{"packaging":{"end_date":"2024-01-02T15:00:00","admin":"vikram-kumar.sinha@takeda.com"},"finishing":{"end_date":"2024-01-03T16:00:00","admin":"vikram-kumar.sinha@takeda.com"},"qa_review":{"end_date":"2024-01-04T09:00:00","admin":"vikram-kumar.sinha@takeda.com"},"mfg_approval":{"end_date":"2024-01-05T15:00:00","admin":"vikram-kumar.sinha@takeda.com"},"qa_approval":{"end_date":"2024-01-06T22:00:00","admin":"vikram-kumar.sinha@takeda.com"}},"defects_count_total_doc_errors_per_batch":null,"urgent_flag":"N","comment":null,"deviation_number":null,"reason_for_delay":null}</t>
  </si>
  <si>
    <t>TC3_ Make_Vienna_Create_Raw_Txn</t>
  </si>
  <si>
    <t>{"dimensions":{"Opu":"PLASMA","site":"VIENNA","prod_brand_nm":"PROTEIN C","proc_stg":"FDP"},"work_order_request_date":null,"material_description":null,"lot_number":"A1B488AA","packaging_line":null,"product_group":null,"actual_data":{"packaging":{"end_date":"2024-11-18T08:00:00","admin":"vikram-kumar.sinha@takeda.com"},"finishing":{"end_date":"2024-11-18T20:00:00","admin":"vikram-kumar.sinha@takeda.com"},"qa_review":{"end_date":"2024-11-19T09:00:00","admin":"vikram-kumar.sinha@takeda.com"},"mfg_approval":{"end_date":"2024-11-19T21:00:00","admin":"vikram-kumar.sinha@takeda.com"},"qa_approval":{"end_date":"2024-11-20T07:00:00","admin":"vikram-kumar.sinha@takeda.com"}},"defects_count_total_doc_errors_per_batch":null,"urgent_flag":"N","comment":null,"deviation_number":null,"reason_for_delay":null}</t>
  </si>
  <si>
    <t>TC4_ Make_Vienna_Create_Raw_Txn</t>
  </si>
  <si>
    <t>{"dimensions":{"Opu":"PLASMA","site":"VIENNA","prod_brand_nm":"PROTEIN C","proc_stg":"FDP"},"work_order_request_date":null,"material_description":null,"lot_number":"A1A066AAP1","packaging_line":null,"product_group":null,"actual_data":{"packaging":{"end_date":"2023-01-23T07:00:00","admin":"vikram-kumar.sinha@takeda.com"},"finishing":{"end_date":"2023-01-23T14:00:00","admin":"vikram-kumar.sinha@takeda.com"},"qa_review":{"end_date":"2023-01-24T08:00:00","admin":"vikram-kumar.sinha@takeda.com"},"mfg_approval":{"end_date":"2023-01-24T16:00:00","admin":"vikram-kumar.sinha@takeda.com"},"qa_approval":{"end_date":"2023-01-25T06:00:00","admin":"vikram-kumar.sinha@takeda.com"}},"defects_count_total_doc_errors_per_batch":null,"urgent_flag":"N","comment":null,"deviation_number":null,"reason_for_delay":null}</t>
  </si>
  <si>
    <t>TC5_ Make_Vienna_Create_Raw_Txn</t>
  </si>
  <si>
    <t xml:space="preserve"> TC6_Verify_Swimlane_EndDate_History</t>
  </si>
  <si>
    <t xml:space="preserve"> /logger/api/v1/logs/batches_event_logging/swimlane_name?param1_name=batch_number&amp;param1_value=B5X016AAP1</t>
  </si>
  <si>
    <t xml:space="preserve"> GET</t>
  </si>
  <si>
    <t xml:space="preserve"> 200</t>
  </si>
  <si>
    <t xml:space="preserve"> {"status":"Success","data":{"logs":[]}}</t>
  </si>
  <si>
    <t xml:space="preserve"> TC7_Verify_Swimlane_EndDate_History_Negative</t>
  </si>
  <si>
    <t>/logger/api/v1/logs/batches_event_logging/swimlane_name?param1_name=batch_number</t>
  </si>
  <si>
    <t>400</t>
  </si>
  <si>
    <t xml:space="preserve"> {"status":"Failure"}</t>
  </si>
  <si>
    <t xml:space="preserve"> TC8_Verify_v2_boards_API_with_query_params</t>
  </si>
  <si>
    <t xml:space="preserve"> /batches/api/v2/boards/make/FDP/B5X016AAP1/Finishing</t>
  </si>
  <si>
    <t xml:space="preserve"> 404</t>
  </si>
  <si>
    <t xml:space="preserve"> {"detail":"Not Found"}</t>
  </si>
  <si>
    <t xml:space="preserve"> TC9_Verify_v2_boards_API_without_query_params</t>
  </si>
  <si>
    <t xml:space="preserve"> /batches/api/v2/boards</t>
  </si>
  <si>
    <t xml:space="preserve">404 </t>
  </si>
  <si>
    <t>TC10_ Make_Vienna_Get_Batch_List</t>
  </si>
  <si>
    <t>/batches/api/v3/batch-list?board_type=Make&amp;opu=PLASMA&amp;site=VIENNA&amp;process=FINISHED%20DRUG%20PRODUCT&amp;page=1&amp;limit=25&amp;status=At%20Risk%7COn%20Track%7COverdue&amp;sort_by=swimlane_start_date&amp;all_combination=false</t>
  </si>
  <si>
    <t>{"status":"Success","data":{"batches_data":[{"name":"Finishing Admin","id":1},{"name":"QA Review","id":2},{"name":"MFG Approval","id":3},{"name":"QA Approval","id":4},{"name":"Ready for Disposition","id":55}],"pagination":{"page":1,"limit":20}}}</t>
  </si>
  <si>
    <t>TC1_GenAI_VerifyCreateConversation</t>
  </si>
  <si>
    <t>mutation MyMutation {
  create_conversation(
    inputs: {
      scope_id: "04b7fc60-63bd-44d7-bcbf-09d1476fa0aa",
      conversation_name: "Conv created by Automation",
      conversation_id: "{generated_uuid}",
      created_timestamp: "{timestamp}",
      owned_by_user_id: 50395262,
      shared_by_user_id: 50395262
    }
  ) {
    data {
      conversation_id
      conv_own_emp_id
      conversation_name
      created_timestamp
      last_msg_timestamp
      scope_id
      shared_by_user_id
    }
    message
    status
  }
}</t>
  </si>
  <si>
    <t>{"data":{"create_conversation":{"data":[{"conversation_id":"{conversation_id}","conv_own_emp_id":50395262,"conversation_name":"Conv created by Automation","scope_id":"04b7fc60-63bd-44d7-bcbf-09d1476fa0aa","shared_by_user_id":50395262}],"message":"Conversation created successfully","status":"Created"}},"errors":[{"message":"'str' object has no attribute 'isoformat'","path":["create_conversation","data",0,"created_timestamp"]}]}</t>
  </si>
  <si>
    <t>TC2_GenAI_VerifyCreateMessage</t>
  </si>
  <si>
    <t>mutation MyQuery {
    create_gen_ai_interaction(
        input: {
            prompt_details: { user_text: "What is takeda?" }
            scope_id: "04b7fc60-63bd-44d7-bcbf-09d1476fa0aa"
            task_id: "cc5f121d-f478-4f83-a88e-f092ae29e921"
            conversation_id: "{conversation_id}"
        }
    ) {
        data {
            conversation_id
            conversation_name
            created_by_user_id
            created_timestamp
            gen_ai_aud
            message_id
            owned_by_user_id
            prompt
            response
            response_timestamp
            src_type
            user_rating
            __typename
        }
        message
        status
        __typename
    }
}</t>
  </si>
  <si>
    <t>{"data":{"create_gen_ai_interaction":{"data":{"conversation_id":"{conversation_id}","conversation_name":"New Conversation","created_by_user_id":"50395262","message_id":"{message_id}","owned_by_user_id":"50395262","prompt":{"user_text":"What is takeda?"},"response":{"short_response":"","long_response":{"graph":[],"table":[]},"recommended_questions":[]},"src_type":"GenAI","user_rating":null,"__typename":"GenAIQueryResponse"},"message":"Query is being processed","status":"acknowledgement","__typename":"GenAIInteraction"}}}</t>
  </si>
  <si>
    <t>TC3_GenAI_VerifyFetchConversation</t>
  </si>
  <si>
    <t>query MyQuery {
    fetch_conversations(
        scope_id: "04b7fc60-63bd-44d7-bcbf-09d1476fa0aa"
        conversation_ids: "{conversation_id}"
    ) {
        conversations {
            conv_own_emp_id
            conversation_id
            conversation_name
            created_timestamp
            last_msg_timestamp
            scope_id
            shared_by_user_id
        }
    }
}</t>
  </si>
  <si>
    <t>{"data":{"fetch_conversations":{"conversations":[{"conv_own_emp_id":50395262,"conversation_id":"{conversation_id}","conversation_name":"Conv created by Automation","scope_id":"04b7fc60-63bd-44d7-bcbf-09d1476fa0aa","shared_by_user_id":50395262}]}}}</t>
  </si>
  <si>
    <t>TC4_GenAI_VerifyFetchMessage</t>
  </si>
  <si>
    <t>query MyQuery {
    fetch_messages(
        conversation_ids: "{conversation_id}"
        task_id: "cc5f121d-f478-4f83-a88e-f092ae29e921"
    ) {
        messages {
            conversation_id
            gen_ai_audit
            message_id
            prompt
            prompt_created_ts
            prompted_by_emp_id
            response
            response_created_ts
            task_id
            src_type
        }
    }
}</t>
  </si>
  <si>
    <t>{
  "data": {
    "fetch_messages": {
      "messages": [
        {
          "conversation_id": "{conversation_id}",
          "gen_ai_audit": {},
          "message_id": "{message_id}",
          "prompt": {
            "task": "",
            "scope": "",
            "context": "",
            "user_text": "What is takeda?",
            "custom_instruction": ""
          },
          "prompted_by_emp_id": 50395262,
          "response": {
            "long_response": {
              "graph": [],
              "table": []
            },
            "short_response": "",
            "reasoning_response": "**Processing query**: The system is now generating a response and will update as more information becomes available.",
            "recommended_questions": []
          },
          "task_id": "cc5f121d-f478-4f83-a88e-f092ae29e921",
          "src_type": "GEN_AI"
        }
      ]
    }
  }
}</t>
  </si>
  <si>
    <t>TC5_GenAI_VerifyUpdateConversation</t>
  </si>
  <si>
    <t>mutation MyMutation {
    update_conversation(
        inputs: {
            conversation_id: "{conversation_id}"
            scope_id: "04b7fc60-63bd-44d7-bcbf-09d1476fa0aa"
            conversation_name: "Updated Conversation by automation"
        }
    ) {
        message
        status
        data {
            conv_own_emp_id
            conversation_id
            conversation_name
            created_timestamp
            last_msg_timestamp
            scope_id
            shared_by_user_id
        }
    }
}</t>
  </si>
  <si>
    <t>{"data":{"update_conversation":{"message":"Conversation updated successfully","status":"Updated","data":[{"conv_own_emp_id":50395262,"conversation_id":"{conversation_id}","conversation_name":"Updated Conversation by automation","scope_id":"04b7fc60-63bd-44d7-bcbf-09d1476fa0aa","shared_by_user_id":50395262}]}},"errors":[{"message":"'str' object has no attribute 'isoformat'","locations":[{"line":15,"column":13}],"path":["update_conversation","data",0,"created_timestamp"]}]}</t>
  </si>
  <si>
    <t>TC6_GenAI_VerifyDeleteConversation</t>
  </si>
  <si>
    <t>mutation MyMutation {
    delete_conversation(
        inputs: {
            scope_id: "04b7fc60-63bd-44d7-bcbf-09d1476fa0aa"
            conversation_ids: "{conversation_id}"
        }
    ) {
        message
        status
    }
}</t>
  </si>
  <si>
    <t>{
  "data": {
    "delete_conversation": {
      "message": "Conversation deleted successfully",
      "status": "Deleted"
    }
  }
}</t>
  </si>
  <si>
    <t>https://api-insights-test2.takeda.io/</t>
  </si>
  <si>
    <t>risks/api/v1/comprehensive-risks</t>
  </si>
  <si>
    <t>{"products":null,"risk_id":null,"risk_type_id":null,"key_risk":null,"impacted_site_ids":null,"risk_category_ids":null,"impact_range_ids":null,"mitigation":true,"opu_ids":null,"page":1,"limit":10,"search_keyword":"","financial_impact_range_ids":null,"risk_state_id":null,"risk_owner_id":null,"overall_likelihood_type_id":null,"risk_mitigation_type":null,"overall_ptrb_type_id":null,"risk_phase_ids":null,"risk_universe_ids":[]}</t>
  </si>
  <si>
    <t>{
  "status": 200,
  "message": "success",
  "data": {
    "risks": [
      {
        "id": 2821,
        "type": {
          "id": 1,
          "value": "Single-Product"
        },
        "category": {
          "id": "72a65ee7-564d-49a8-a096-5ab993f763e2",
          "value": "Compliance and data integrity breaches (lack of life-cycle, inadequate access management, unethical use of new technologies)"
        },
        "description": "string",
        "creation_date": "2025-08-20",
        "closure_date": null,
        "last_updated_timestamp": "2025-08-23T18:57:49.779787",
        "is_key_risk": false,
        "is_confidential_risk": false,
        "phase": {
          "id": 1,
          "value": "Identification"
        },
        "state": {
          "id": 1,
          "value": "Active"
        },
        "owner": {
          "display_name": "Sagar Shivaji Kadam ",
          "email_id": "sagar-shivaji.kadam@takeda.com"
        },
        "organisation_unit": {
          "id": null,
          "value": null
        },
        "risk_score_value": null,
        "impacted_products": [
          "ADVATE"
        ],
        "impacted_sites": [],
        "risk_universe": "Data, Digital &amp; Technology / Information Protection",
        "mitigation_type": {
          "id": null,
          "value": null
        },
        "impact_range": {
          "id": null,
          "value": null
        },
        "process_steps": [],
        "active_mitigation_plan_count": null,
        "note": null,
        "current_risk_impact": {
          "impact_patient": {
            "id": null,
            "value": null
          },
          "impact_trust": {
            "id": null,
            "value": null
          },
          "impact_reputation": {
            "id": null,
            "value": null
          },
          "impact_business": {
            "id": null,
            "value": null
          },
          "financial_impact_amount": null,
          "overall_ptrb": {
            "id": null,
            "value": null
          },
          "overall_likelihood": {
            "id": null,
            "value": null
          },
          "risk_score_value": null,
          "impact_assessment_comment": null
        },
        "future_risk_impact": {
          "impact_patient": {
            "id": null,
            "value": null
          },
          "impact_trust": {
            "id": null,
            "value": null
          },
          "impact_reputation": {
            "id": null,
            "value": null
          },
          "impact_business": {
            "id": null,
            "value": null
          },
          "financial_impact_amount": null,
          "overall_ptrb": {
            "id": null,
            "value": null
          },
          "overall_likelihood": {
            "id": null,
            "value": null
          },
          "risk_score_value": null,
          "impact_assessment_comment": null
        },
        "mitigations": [],
        "associated_risks": []
      }
    ],
    "pagination": {
      "total_count": 1,
      "total_pages": 1,
      "current_page": 1,
      "limit": 10
    }
  }
}</t>
  </si>
  <si>
    <t>risks/api/v1/mitigation-plan?risk_ids=2821&amp;page=1&amp;sort_order=asc</t>
  </si>
  <si>
    <t>{
  "status": 200,
  "message": "success",
  "data": {
    "mitigation_plans": [],
    "pagination": {
      "total_count": 0,
      "total_pages": 1,
      "current_page": 1,
      "limit": 0
    },
    "sorting": {
      "sort_by": null,
      "sort_order": "asc"
    }
  }
}</t>
  </si>
  <si>
    <t>risks/api/v1/mitigation-plan?risk_ids=2808&amp;risk_type_ids=1&amp;page=1&amp;sort_order=asc</t>
  </si>
  <si>
    <t>{
  "status": 200,
  "message": "success",
  "data": {
    "mitigation_plans": [
      {
        "plan_id": 4767,
        "plan_description": "dfsfds",
        "state_description": "",
        "owner": {
          "display_name": "Raj M, Arun Prakash (ext)",
          "email_id": "arun-prakash.raj-m@takeda.com"
        },
        "due_date": null,
        "closed_date": null,
        "progress": null,
        "risk_id": 2808,
        "risk_type": {
          "id": 1,
          "value": "Single-Product"
        },
        "risk_description": "atestatew fsadfsafd",
        "impacted_products": [
          "ADVATE"
        ],
        "impacted_sites": []
      }
    ],
    "pagination": {
      "total_count": 1,
      "total_pages": 1,
      "current_page": 1,
      "limit": 1
    },
    "sorting": {
      "sort_by": null,
      "sort_order": "asc"
    }
  }
}</t>
  </si>
  <si>
    <t>risks/api/v1/mitigation-plan?due_date=2025-07-22&amp;risk_type_ids=1&amp;page=1&amp;sort_order=asc</t>
  </si>
  <si>
    <t>{
  "status": 200,
  "message": "success",
  "data": {
    "mitigation_plans": [
      {
        "plan_id": 4770,
        "plan_description": "sdf",
        "state_description": "",
        "owner": {
          "display_name": "Sagar Shivaji Kadam ",
          "email_id": "sagar-shivaji.kadam@takeda.com"
        },
        "due_date": "2025-07-22",
        "closed_date": null,
        "progress": {
          "id": 3,
          "value": "Overdue"
        },
        "risk_id": 2813,
        "risk_type": {
          "id": 1,
          "value": "Single-Product"
        },
        "risk_description": "555",
        "impacted_products": [
          "ADYNOVATE"
        ],
        "impacted_sites": []
      },
      {
        "plan_id": 4771,
        "plan_description": "Test",
        "state_description": "",
        "owner": {
          "display_name": "Sagar Shivaji Kadam ",
          "email_id": "sagar-shivaji.kadam@takeda.com"
        },
        "due_date": "2025-07-22",
        "closed_date": null,
        "progress": {
          "id": 3,
          "value": "Overdue"
        },
        "risk_id": 2814,
        "risk_type": {
          "id": 1,
          "value": "Single-Product"
        },
        "risk_description": "2814",
        "impacted_products": [
          "FEIBA"
        ],
        "impacted_sites": []
      }
    ],
    "pagination": {
      "total_count": 2,
      "total_pages": 1,
      "current_page": 1,
      "limit": 2
    },
    "sorting": {
      "sort_by": null,
      "sort_order": "asc"
    }
  }
}</t>
  </si>
  <si>
    <t>risks/api/v1/product-details</t>
  </si>
  <si>
    <t>{
  "products": [
    "string"
  ]
}</t>
  </si>
  <si>
    <t>{
  "status": 200,
  "message": "success",
  "data": []
}</t>
  </si>
  <si>
    <t>risks/api/v1/params/data?assessment_cycle_state=active&amp;ptrb_type=patient</t>
  </si>
  <si>
    <t>{
    "status": 200,
    "message": "success",
    "data": [
        {
            "assessment_cycle_id": 10,
            "budget_cycle": "MYC",
            "fiscal_years": "FY2028-30",
            "cycle_state_id": 2,
            "cycle_state": "in progress",
            "risk_params_data": {
                "impact": {
                    "very_high": {
                        "products": [
                            "ADVATE",
                            "CEPROTIN",
                            "FAZIRISAN (TAK-999)",
                            "GATTEX/REVESTIVE"
                        ]
                    },
                    "high": {
                        "products": []
                    },
                    "medium": {
                        "products": [
                            "ADYNOVATE",
                            "ELAPRASE",
                            "ENTYVIO",
                            "GAMMAGARD SD / LOW IGA",
                            "LEUPRORELIN",
                            "MEPACT",
                            "REPLAGAL",
                            "TAK-141 PABINAFUSP ALFA",
                            "VPRIV",
                            "VYVANSE",
                            "ZASOCITINIB (TAK-279)",
                            "ZEJULA"
                        ]
                    },
                    "low": {
                        "products": [
                            "ADCETRIS",
                            "ADZYNMA (TAK-755)",
                            "ALBUMIN",
                            "ALOFISEL",
                            "ALUNBRIG",
                            "CABOZANTINIB",
                            "CINRYZE",
                            "CUVITRU",
                            "DEXILANT",
                            "EOHILIA",
                            "EXKIVITY",
                            "FEIBA",
                            "FIRAZYR",
                            "FLEXBUMIN",
                            "FRUZAQLA",
                            "GAMMAGARD LIQUID/KIOVIG",
                            "HYQVIA",
                            "ICLUSIG",
                            "KALBITOR",
                            "LANSOPRAZOLE",
                            "LIVTENCITY",
                            "NATPARA",
                            "NINLARO",
                            "OBIZUR",
                            "PANTOPRAZOLE",
                            "RECOMBINATE",
                            "RIXUBIS",
                            "TAK-935 SOTICLESTAT",
                            "TAKECAB",
                            "TAKHZYRO",
                            "TRINTELLIX",
                            "VECTIBIX",
                            "VELCADE",
                            "VONVENDI"
                        ]
                    }
                },
                "likelihood": {
                    "rare": {
                        "products": [
                            "ALUNBRIG",
                            "CABOZANTINIB",
                            "CINRYZE",
                            "DEXILANT",
                            "EXKIVITY",
                            "ICLUSIG",
                            "LANSOPRAZOLE",
                            "NATPARA",
                            "PANTOPRAZOLE",
                            "TRINTELLIX",
                            "VECTIBIX",
                            "VELCADE",
                            "ZEJULA"
                        ]
                    },
                    "unlikely": {
                        "products": [
                            "ADCETRIS",
                            "ENTYVIO",
                            "EOHILIA",
                            "FEIBA",
                            "FIRAZYR",
                            "FRUZAQLA",
                            "LEUPRORELIN",
                            "MEPACT",
                            "NINLARO",
                            "REPLAGAL",
                            "RIXUBIS",
                            "TAK-141 PABINAFUSP ALFA",
                            "TAK-935 SOTICLESTAT",
                            "TAKECAB",
                            "VONVENDI",
                            "VYVANSE",
                            "ZASOCITINIB (TAK-279)"
                        ]
                    },
                    "possible": {
                        "products": [
                            "ADZYNMA (TAK-755)",
                            "ALBUMIN",
                            "CEPROTIN",
                            "CUVITRU",
                            "ELAPRASE",
                            "FLEXBUMIN",
                            "GAMMAGARD LIQUID/KIOVIG",
                            "GAMMAGARD SD / LOW IGA",
                            "HYQVIA",
                            "KALBITOR",
                            "LIVTENCITY",
                            "RECOMBINATE",
                            "VPRIV"
                        ]
                    },
                    "likely": {
                        "products": [
                            "ADVATE",
                            "ADYNOVATE",
                            "ALOFISEL",
                            "FAZIRISAN (TAK-999)",
                            "GATTEX/REVESTIVE",
                            "OBIZUR",
                            "TAKHZYRO"
                        ]
                    }
                }
            },
            "risk_params_combination_data": {
                "very_high|rare": {
                    "products": []
                },
                "very_high|unlikely": {
                    "products": []
                },
                "very_high|possible": {
                    "products": [
                        "CEPROTIN"
                    ]
                },
                "very_high|likely": {
                    "products": [
                        "ADVATE",
                        "FAZIRISAN (TAK-999)",
                        "GATTEX/REVESTIVE"
                    ]
                },
                "high|rare": {
                    "products": []
                },
                "high|unlikely": {
                    "products": []
                },
                "high|possible": {
                    "products": []
                },
                "high|likely": {
                    "products": []
                },
                "medium|rare": {
                    "products": [
                        "ZEJULA"
                    ]
                },
                "medium|unlikely": {
                    "products": [
                        "ENTYVIO",
                        "LEUPRORELIN",
                        "MEPACT",
                        "REPLAGAL",
                        "TAK-141 PABINAFUSP ALFA",
                        "VYVANSE",
                        "ZASOCITINIB (TAK-279)"
                    ]
                },
                "medium|possible": {
                    "products": [
                        "ELAPRASE",
                        "GAMMAGARD SD / LOW IGA",
                        "VPRIV"
                    ]
                },
                "medium|likely": {
                    "products": [
                        "ADYNOVATE"
                    ]
                },
                "low|rare": {
                    "products": [
                        "ALUNBRIG",
                        "CABOZANTINIB",
                        "CINRYZE",
                        "DEXILANT",
                        "EXKIVITY",
                        "ICLUSIG",
                        "LANSOPRAZOLE",
                        "NATPARA",
                        "PANTOPRAZOLE",
                        "TRINTELLIX",
                        "VECTIBIX",
                        "VELCADE"
                    ]
                },
                "low|unlikely": {
                    "products": [
                        "ADCETRIS",
                        "EOHILIA",
                        "FEIBA",
                        "FIRAZYR",
                        "FRUZAQLA",
                        "NINLARO",
                        "RIXUBIS",
                        "TAK-935 SOTICLESTAT",
                        "TAKECAB",
                        "VONVENDI"
                    ]
                },
                "low|possible": {
                    "products": [
                        "ADZYNMA (TAK-755)",
                        "ALBUMIN",
                        "CUVITRU",
                        "FLEXBUMIN",
                        "GAMMAGARD LIQUID/KIOVIG",
                        "HYQVIA",
                        "KALBITOR",
                        "LIVTENCITY",
                        "RECOMBINATE"
                    ]
                },
                "low|likely": {
                    "products": [
                        "ALOFISEL",
                        "OBIZUR",
                        "TAKHZYRO"
                    ]
                }
            }
        }
    ]
}</t>
  </si>
  <si>
    <t>risks/api/v1/params/data?assessment_cycle_state=active&amp;ptrb_type=trust</t>
  </si>
  <si>
    <t xml:space="preserve">    "data": [	
        {	
            "assessment_cycle_id": 10,	
            "budget_cycle": "MYC",	
            "fiscal_years": "FY2028-30",	
            "cycle_state_id": 2,	
            "cycle_state": "in progress",	
            "risk_params_data": {	
                "impact": {	
                    "very_high": {	
                        "products": [	
                            "ADVATE",	
                            "FAZIRISAN (TAK-999)"	
                        ]	
                    },	
                    "high": {	
                        "products": []	
                    },	
                    "medium": {	
                        "products": [	
                            "ADYNOVATE",	
                            "ENTYVIO",	
                            "GATTEX/REVESTIVE",	
                            "LEUPRORELIN",	
                            "MEPACT",	
                            "REPLAGAL",	
                            "TAK-141 PABINAFUSP ALFA",	
                            "ZEJULA"	
                        ]	
                    },	
                    "low": {	
                        "products": [	
                            "ADCETRIS",	
                            "ADZYNMA (TAK-755)",	
                            "ALOFISEL",	
                            "CABOZANTINIB",	
                            "CINRYZE",	
                            "DEXILANT",	
                            "FIRAZYR",	
                            "GAMMAGARD SD / LOW IGA",	
                            "LANSOPRAZOLE",	
                            "LIVTENCITY",	
                            "OBIZUR",	
                            "PANTOPRAZOLE",	
                            "TAKECAB",	
                            "VECTIBIX",	
                            "VELCADE",	
                            "VONVENDI",	
                            "VPRIV"	
                        ]	
                    }	
                },	
                "likelihood": {	
                    "rare": {	
                        "products": [	
                            "CABOZANTINIB",	
                            "CINRYZE",	
                            "DEXILANT",	
                            "LANSOPRAZOLE",	
                            "PANTOPRAZOLE",	
                            "VECTIBIX",	
                            "VELCADE",	
                            "ZEJULA"	
                        ]	
                    },	
                    "unlikely": {	
                        "products": [	
                            "ADCETRIS",	
                            "ENTYVIO",	
                            "FIRAZYR",	
                            "LEUPRORELIN",	
                            "MEPACT",	
                            "REPLAGAL",	
                            "TAK-141 PABINAFUSP ALFA",	
                            "TAKECAB",	
                            "VONVENDI"	
                        ]	
                    },	
                    "possible": {	
                        "products": [	
                            "ADZYNMA (TAK-755)",	
                            "GAMMAGARD SD / LOW IGA",	
                            "LIVTENCITY",	
                            "VPRIV"	
                        ]	
                    },	
                    "likely": {	
                        "products": [	
                            "ADVATE",	
                            "ADYNOVATE",	
                            "ALOFISEL",	
                            "FAZIRISAN (TAK-999)",	
                            "GATTEX/REVESTIVE",	
                            "OBIZUR"	
                        ]	
                    }	
                }	
            },	
            "risk_params_combination_data": {	
                "very_high|rare": {	
                    "products": []	
                },	
                "very_high|unlikely": {	
                    "products": []	
                },	
                "very_high|possible": {	
                    "products": []	
                },	
                "very_high|likely": {	
                    "products": [	
                        "ADVATE",	
                        "FAZIRISAN (TAK-999)"	
                    ]	
                },	
                "high|rare": {	
                    "products": []	
                },	
                "high|unlikely": {	
                    "products": []	
                },	
                "high|possible": {	
                    "products": []	
                },	
                "high|likely": {	
                    "products": []	
                },	
                "medium|rare": {	
                    "products": [	
                        "ZEJULA"	
                    ]	
                },	
                "medium|unlikely": {	
                    "products": [	
                        "ENTYVIO",	
                        "LEUPRORELIN",	
                        "MEPACT",	
                        "REPLAGAL",	
                        "TAK-141 PABINAFUSP ALFA"	
                    ]	
                },	
                "medium|possible": {	
                    "products": []	
                },	
                "medium|likely": {	
                    "products": [	
                        "ADYNOVATE",	
                        "GATTEX/REVESTIVE"	
                    ]	
                },	
                "low|rare": {	
                    "products": [	
                        "CABOZANTINIB",	
                        "CINRYZE",	
                        "DEXILANT",	
                        "LANSOPRAZOLE",	
                        "PANTOPRAZOLE",	
                        "VECTIBIX",	
                        "VELCADE"	
                    ]	
                },	
                "low|unlikely": {	
                    "products": [	
                        "ADCETRIS",	
                        "FIRAZYR",	
                        "TAKECAB",	
                        "VONVENDI"	
                    ]	
                },	
                "low|possible": {	
                    "products": [	
                        "ADZYNMA (TAK-755)",	
                        "GAMMAGARD SD / LOW IGA",	
                        "LIVTENCITY",	
                        "VPRIV"	
                    ]	
                },	
                "low|likely": {	
                    "products": [	
                        "ALOFISEL",	
                        "OBIZUR"	
                    ]	
                }	
            }	
        }	
    ]	
}	</t>
  </si>
  <si>
    <t>https://api-insights-test2.takeda.io</t>
  </si>
  <si>
    <t>risks/api/v1/params/data?assessment_cycle_state=recently_completed&amp;ptrb_type=reputation</t>
  </si>
  <si>
    <t>{
  "status": 200,
  "message": "success",
  "data": [
    {
      "assessment_cycle_id": 9,
      "budget_cycle": "MRP",
      "fiscal_years": "FY2028-30",
      "cycle_state_id": 4,
      "cycle_state": "completed",
      "risk_params_data": {
        "impact": {
          "very_high": {
            "products": [
              "ADVATE"
            ]
          },
          "high": {
            "products": [
              "ALBUMIN",
              "FLEXBUMIN",
              "REPLAGAL"
            ]
          },
          "medium": {
            "products": [
              "ADCETRIS",
              "ADYNOVATE",
              "CEPROTIN",
              "ELAPRASE",
              "ENTYVIO",
              "GAMMAGARD SD / LOW IGA",
              "GATTEX/REVESTIVE",
              "LEUPRORELIN",
              "LIVTENCITY",
              "MEPACT",
              "TAK-141 PABINAFUSP ALFA",
              "VYVANSE",
              "ZEJULA"
            ]
          },
          "low": {
            "products": [
              "ADZYNMA (TAK-755)",
              "ALOFISEL",
              "ALUNBRIG",
              "CABOZANTINIB",
              "CUVITRU",
              "DEXILANT",
              "EOHILIA",
              "EXKIVITY",
              "FEIBA",
              "FIRAZYR",
              "FRUZAQLA",
              "GAMMAGARD LIQUID/KIOVIG",
              "HYQVIA",
              "ICLUSIG",
              "KALBITOR",
              "LANSOPRAZOLE",
              "NATPARA",
              "NINLARO",
              "OBIZUR",
              "PANTOPRAZOLE",
              "RECOMBINATE",
              "RIXUBIS",
              "TAK-935 SOTICLESTAT",
              "TAKECAB",
              "TAKHZYRO",
              "TRINTELLIX",
              "VECTIBIX",
              "VELCADE",
              "VONVENDI",
              "VPRIV",
              "ZASOCITINIB (TAK-279)"
            ]
          }
        },
        "likelihood": {
          "rare": {
            "products": [
              "ALUNBRIG",
              "CABOZANTINIB",
              "DEXILANT",
              "EXKIVITY",
              "ICLUSIG",
              "LANSOPRAZOLE",
              "NATPARA",
              "PANTOPRAZOLE",
              "TRINTELLIX",
              "VECTIBIX",
              "VELCADE",
              "ZEJULA"
            ]
          },
          "unlikely": {
            "products": [
              "ADCETRIS",
              "ENTYVIO",
              "EOHILIA",
              "FEIBA",
              "FIRAZYR",
              "FRUZAQLA",
              "LEUPRORELIN",
              "MEPACT",
              "NINLARO",
              "REPLAGAL",
              "RIXUBIS",
              "TAK-141 PABINAFUSP ALFA",
              "TAK-935 SOTICLESTAT",
              "TAKECAB",
              "VONVENDI",
              "VYVANSE",
              "ZASOCITINIB (TAK-279)"
            ]
          },
          "possible": {
            "products": [
              "ADZYNMA (TAK-755)",
              "ALBUMIN",
              "CEPROTIN",
              "CUVITRU",
              "ELAPRASE",
              "FLEXBUMIN",
              "GAMMAGARD LIQUID/KIOVIG",
              "GAMMAGARD SD / LOW IGA",
              "HYQVIA",
              "KALBITOR",
              "LIVTENCITY",
              "RECOMBINATE",
              "VPRIV"
            ]
          },
          "likely": {
            "products": [
              "ADVATE",
              "ADYNOVATE",
              "ALOFISEL",
              "GATTEX/REVESTIVE",
              "OBIZUR",
              "TAKHZYRO"
            ]
          }
        }
      },
      "risk_params_combination_data": {
        "very_high|rare": {
          "products": []
        },
        "very_high|unlikely": {
          "products": []
        },
        "very_high|possible": {
          "products": []
        },
        "very_high|likely": {
          "products": [
            "ADVATE"
          ]
        },
        "high|rare": {
          "products": []
        },
        "high|unlikely": {
          "products": [
            "REPLAGAL"
          ]
        },
        "high|possible": {
          "products": [
            "ALBUMIN",
            "FLEXBUMIN"
          ]
        },
        "high|likely": {
          "products": []
        },
        "medium|rare": {
          "products": [
            "ZEJULA"
          ]
        },
        "medium|unlikely": {
          "products": [
            "ADCETRIS",
            "ENTYVIO",
            "LEUPRORELIN",
            "MEPACT",
            "TAK-141 PABINAFUSP ALFA",
            "VYVANSE"
          ]
        },
        "medium|possible": {
          "products": [
            "CEPROTIN",
            "ELAPRASE",
            "GAMMAGARD SD / LOW IGA",
            "LIVTENCITY"
          ]
        },
        "medium|likely": {
          "products": [
            "ADYNOVATE",
            "GATTEX/REVESTIVE"
          ]
        },
        "low|rare": {
          "products": [
            "ALUNBRIG",
            "CABOZANTINIB",
            "DEXILANT",
            "EXKIVITY",
            "ICLUSIG",
            "LANSOPRAZOLE",
            "NATPARA",
            "PANTOPRAZOLE",
            "TRINTELLIX",
            "VECTIBIX",
            "VELCADE"
          ]
        },
        "low|unlikely": {
          "products": [
            "EOHILIA",
            "FEIBA",
            "FIRAZYR",
            "FRUZAQLA",
            "NINLARO",
            "RIXUBIS",
            "TAK-935 SOTICLESTAT",
            "TAKECAB",
            "VONVENDI",
            "ZASOCITINIB (TAK-279)"
          ]
        },
        "low|possible": {
          "products": [
            "ADZYNMA (TAK-755)",
            "CUVITRU",
            "GAMMAGARD LIQUID/KIOVIG",
            "HYQVIA",
            "KALBITOR",
            "RECOMBINATE",
            "VPRIV"
          ]
        },
        "low|likely": {
          "products": [
            "ALOFISEL",
            "OBIZUR",
            "TAKHZYRO"
          ]
        }
      }
    }
  ]
}</t>
  </si>
  <si>
    <t>risks/api/v1/params/data?assessment_cycle_state=recently_completed&amp;ptrb_type=business</t>
  </si>
  <si>
    <t>{
  "status": 200,
  "message": "success",
  "data": [
    {
      "assessment_cycle_id": 9,
      "budget_cycle": "MRP",
      "fiscal_years": "FY2028-30",
      "cycle_state_id": 4,
      "cycle_state": "completed",
      "risk_params_data": {
        "impact": {
          "very_high": {
            "products": [
              "ADYNOVATE"
            ]
          },
          "high": {
            "products": [
              "ALBUMIN",
              "FLEXBUMIN",
              "ZASOCITINIB (TAK-279)"
            ]
          },
          "medium": {
            "products": [
              "CUVITRU",
              "GAMMAGARD SD / LOW IGA"
            ]
          },
          "low": {
            "products": [
              "ADVATE",
              "EOHILIA",
              "EXKIVITY",
              "GAMMAGARD LIQUID/KIOVIG",
              "GATTEX/REVESTIVE",
              "VONVENDI"
            ]
          }
        },
        "likelihood": {
          "rare": {
            "products": [
              "EXKIVITY"
            ]
          },
          "unlikely": {
            "products": [
              "EOHILIA",
              "VONVENDI",
              "ZASOCITINIB (TAK-279)"
            ]
          },
          "possible": {
            "products": [
              "ALBUMIN",
              "CUVITRU",
              "FLEXBUMIN",
              "GAMMAGARD LIQUID/KIOVIG",
              "GAMMAGARD SD / LOW IGA"
            ]
          },
          "likely": {
            "products": [
              "ADVATE",
              "ADYNOVATE",
              "GATTEX/REVESTIVE"
            ]
          }
        }
      },
      "risk_params_combination_data": {
        "very_high|rare": {
          "products": []
        },
        "very_high|unlikely": {
          "products": []
        },
        "very_high|possible": {
          "products": []
        },
        "very_high|likely": {
          "products": [
            "ADYNOVATE"
          ]
        },
        "high|rare": {
          "products": []
        },
        "high|unlikely": {
          "products": [
            "ZASOCITINIB (TAK-279)"
          ]
        },
        "high|possible": {
          "products": [
            "ALBUMIN",
            "FLEXBUMIN"
          ]
        },
        "high|likely": {
          "products": []
        },
        "medium|rare": {
          "products": []
        },
        "medium|unlikely": {
          "products": []
        },
        "medium|possible": {
          "products": [
            "CUVITRU",
            "GAMMAGARD SD / LOW IGA"
          ]
        },
        "medium|likely": {
          "products": []
        },
        "low|rare": {
          "products": [
            "EXKIVITY"
          ]
        },
        "low|unlikely": {
          "products": [
            "EOHILIA",
            "VONVENDI"
          ]
        },
        "low|possible": {
          "products": [
            "GAMMAGARD LIQUID/KIOVIG"
          ]
        },
        "low|likely": {
          "products": [
            "ADVATE",
            "GATTEX/REVESTIVE"
          ]
        }
      }
    }
  ]
}</t>
  </si>
  <si>
    <t>risks/api/v1/params/data?assessment_cycle_state=active&amp;products=ADVATE&amp;opus=biologics&amp;ptrb_type=patient</t>
  </si>
  <si>
    <t>{
  "status": 200,
  "message": "success",
  "data": [
    {
      "assessment_cycle_id": 10,
      "budget_cycle": "MYC",
      "fiscal_years": "FY2028-30",
      "cycle_state_id": 2,
      "cycle_state": "in progress",
      "risk_params_data": {
        "impact": {
          "very_high": {
            "products": [
              "ADVATE"
            ]
          },
          "high": {
            "products": []
          },
          "medium": {
            "products": []
          },
          "low": {
            "products": []
          }
        },
        "likelihood": {
          "rare": {
            "products": []
          },
          "unlikely": {
            "products": []
          },
          "possible": {
            "products": []
          },
          "likely": {
            "products": [
              "ADVATE"
            ]
          }
        }
      },
      "risk_params_combination_data": {
        "very_high|rare": {
          "products": []
        },
        "very_high|unlikely": {
          "products": []
        },
        "very_high|possible": {
          "products": []
        },
        "very_high|likely": {
          "products": [
            "ADVATE"
          ]
        },
        "high|rare": {
          "products": []
        },
        "high|unlikely": {
          "products": []
        },
        "high|possible": {
          "products": []
        },
        "high|likely": {
          "products": []
        },
        "medium|rare": {
          "products": []
        },
        "medium|unlikely": {
          "products": []
        },
        "medium|possible": {
          "products": []
        },
        "medium|likely": {
          "products": []
        },
        "low|rare": {
          "products": []
        },
        "low|unlikely": {
          "products": []
        },
        "low|possible": {
          "products": []
        },
        "low|likely": {
          "products": []
        }
      }
    }
  ]
}</t>
  </si>
  <si>
    <t>risks/api/v1/site-details?site_type_ids=2</t>
  </si>
  <si>
    <t> {
  "status": 200,
  "message": "success",
  "data": {
    "site_details": [
      {
        "id": 40,
        "name": "DC PUERTO RICO (CESAR CASTILLO)",
        "type": "Distribution",
        "country": "UNITED STATES OF AMERICA",
        "opu": null,
        "region": "",
        "function": "Supply Chain",
        "legal_entity": "CESAR CASTILLO LLC",
        "address": "Rd #1 Km 21.1, PR-1, 00971, Puerto Rico",
        "is_internal": false,
        "risk_owner": null,
        "risk_coordinator": null,
        "risk_manager": null,
        "products": [],
        "site_image_url": "/brand/Risk/dcpuertoricocesar.png"
      },
      {
        "id": 38,
        "name": "DC USA – ESPORT (ICS)",
        "type": "Distribution",
        "country": "UNITED STATES OF AMERICA",
        "opu": null,
        "region": "",
        "function": "Supply Chain",
        "legal_entity": "Integrated Commercialization Solutions, LLC",
        "address": "6450 La Salle Dr, Lockbourne, OH 43137",
        "is_internal": false,
        "risk_owner": null,
        "risk_coordinator": null,
        "risk_manager": null,
        "products": [],
        "site_image_url": "/brand/Risk/dcusaesportics.png"
      },
      {
        "id": 39,
        "name": "DC USA – EXPORT (MCKESSON)",
        "type": "Distribution",
        "country": "UNITED STATES OF AMERICA",
        "opu": null,
        "region": "",
        "function": "Supply Chain",
        "legal_entity": "RxCrossroads 3PL LLC",
        "address": "170 Clermont Rd, STE A, 40165 Shepherdsville, KY",
        "is_internal": false,
        "risk_owner": null,
        "risk_coordinator": null,
        "risk_manager": null,
        "products": [],
        "site_image_url": "/brand/Risk/dcusaexportmckess.png"
      },
      {
        "id": 28,
        "name": "EU EXPORT HUB GERMANY (ARVATO)",
        "type": "Distribution",
        "country": "Germany",
        "opu": null,
        "region": "",
        "function": "Supply Chain",
        "legal_entity": "Arvato SE",
        "address": "Gottlieb-Daimler-Straße 1, 33428 Harsewinkel",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"/brand/Risk/arvatogermany.png"
      },
      {
        "id": 30,
        "name": "GDC CONTROLLED DRUGS GERMANY (UNITAX)",
        "type": "Distribution",
        "country": "Germany",
        "opu": null,
        "region": "",
        "function": "Supply Chain",
        "legal_entity": "UNITAX Pharmalogistik GmbH",
        "address": "An d. Anhalter Bahn, 14979 Großbeeren, Germany",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"/brand/Risk/gdccontrolleddrugs.png"
      },
      {
        "id": 31,
        "name": "GDC VACCINES BELGIUM (K+N)",
        "type": "Distribution",
        "country": "Belgium",
        "opu": null,
        "region": "",
        "function": "Supply Chain",
        "legal_entity": "Kuehne+Nagel Logistics NV",
        "address": "Kuehne + Nagel Logistics NV ,Klaus-Michael Kuehnelaan 8,2440, Geel, Belgium",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"/brand/Risk/gdcvaccines.png"
      },
      {
        "id": 32,
        "name": "GERLACH",
        "type": "Distribution",
        "country": "Netherlands",
        "opu": null,
        "region": "",
        "function": "Supply Chain",
        "legal_entity": "Gerlach &amp; Co BV",
        "address": "van Heemskerckweg 6, NL-5928 LL Venlo, The Netherlands",
        "is_internal": false,
        "risk_owner": {
          "display_name": "Sasank Mohanty",
          "email_id": "sasank.mohanty@takeda.com"
        },
        "risk_coordinator": null,
        "risk_manager": {
          "display_name": "Italo Rusconi",
          "email_id": "Italo.Rusconi@takeda.com"
        },
        "products": [],
        "site_image_url": "/brand/Risk/gerlach.png"
      },
      {
        "id": 33,
        "name": "IRELAND EXPORT HUB",
        "type": "Distribution",
        "country": "Ireland",
        "opu": null,
        "region": "",
        "function": "Supply Chain",
        "legal_entity": "Takeda Pharmaceutical Company Limited",
        "address": "Unit 4 Horizon Logistics Park, New Naul Road, Harristown, Co. Dublin, Ireland",
        "is_internal": false,
        "risk_owner": {
          "display_name": "Hiromitsu Ito ",
          "email_id": "hiromitsu.ito@takeda.com"
        },
        "risk_coordinator": {
          "display_name": "Hiromi Takami ",
          "email_id": "hiromi.takami@takeda.com"
        },
        "risk_manager": {
          "display_name": "Italo Rusconi",
          "email_id": "Italo.Rusconi@takeda.com"
        },
        "products": [],
        "site_image_url": "/brand/Risk/irelandexporthub.png"
      },
      {
        "id": 37,
        "name": "JP EXPORT HUB (KWE)",
        "type": "Distribution",
        "country": "Japan",
        "opu": null,
        "region": "",
        "function": "Supply Chain",
        "legal_entity": "Takeda Pharmaceutical Company Limited",
        "address": "2-21, Rinku Orai-Kita, Izumisano-City, Osaka, Japan",
        "is_internal": false,
        "risk_owner": {
          "display_name": "Hiromitsu Ito ",
          "email_id": "hiromitsu.ito@takeda.com"
        },
        "risk_coordinator": {
          "display_name": "Hiromi Takami ",
          "email_id": "hiromi.takami@takeda.com"
        },
        "risk_manager": {
          "display_name": "Italo Rusconi",
          "email_id": "Italo.Rusconi@takeda.com"
        },
        "products": [],
        "site_image_url": "/brand/Risk/rinku.png"
      },
      {
        "id": 34,
        "name": "RDC FRANCE (CSP)",
        "type": "Distribution",
        "country": "France",
        "opu": null,
        "region": "",
        "function": "Supply Chain",
        "legal_entity": "CENTRE SPÉCIALITÉS PHARMACEUTIQUES",
        "address": "CSP, 76-78 Av. du Midi, 63800 Cournon-d'Auvergne, France",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"/brand/Risk/rdcfrance.png"
      },
      {
        "id": 35,
        "name": "RDC GERMANY (TOF)",
        "type": "Distribution",
        "country": "Germany",
        "opu": null,
        "region": "",
        "function": "Supply Chain",
        "legal_entity": "Trans-o-flex Logistik Service GmbH",
        "address": "A10, 63755 Alzenau, Industriegebiet S E, 63755 Alzenau, Germany",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"/brand/Risk/rdcgermany.png"
      },
      {
        "id": 29,
        "name": "RDC POLAND (ARVATO)",
        "type": "Distribution",
        "country": "Poland",
        "opu": null,
        "region": "",
        "function": "Supply Chain",
        "legal_entity": "Arvato Polska sp. z o.o",
        "address": "05-870 Kopytów; 44 h, 05-870, Poland",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"/brand/Risk/arvatopoland.png"
      },
      {
        "id": 36,
        "name": "RDC POLAND (KWIZDA)",
        "type": "Distribution",
        "country": "Austria",
        "opu": null,
        "region": "",
        "function": "Supply Chain",
        "legal_entity": "Kwizda Pharmadistribution GmbH",
        "address": "Achauerstraße 2, 2333 Leopoldsdorf bei Wien, Austria",
        "is_internal": false,
        "risk_owner": {
          "display_name": "Pascal René Halm",
          "email_id": "Pascal.Halm@takeda.com"
        },
        "risk_coordinator": {
          "display_name": "Eduardo Teixeira",
          "email_id": "eduardo.teixeira@takeda.com"
        },
        "risk_manager": {
          "display_name": "Italo Rusconi",
          "email_id": "Italo.Rusconi@takeda.com"
        },
        "products": [],
        "site_image_url": "/brand/Risk/rdckwizda.png"
      },
      {
        "id": 41,
        "name": "RDC SINGAPORE (KN+)",
        "type": "Distribution",
        "country": "Singapore",
        "opu": null,
        "region": "",
        "function": "Supply Chain",
        "legal_entity": "TAKEDA PHARMACEUTICALS INTERNATIONAL AG SINGAPORE BRANCH",
        "address": "10 PIONEER CRESCENT #01-00 SINGAPORE 628566",
        "is_internal": false,
        "risk_owner": null,
        "risk_coordinator": null,
        "risk_manager": null,
        "products": [],
        "site_image_url": "/brand/Risk/rdcsingaporekn.png"
      }
    ]
  }
}</t>
  </si>
  <si>
    <t>risks/api/v1/site-details?site_type_ids=1</t>
  </si>
  <si>
    <t>   {
  "status": 200,
  "message": "success",
  "data": {
    "site_details": [
      {
        "id": 4,
        "name": "BEKASI",
        "type": "Manufacturing",
        "country": "Indonesia",
        "opu": "SMALL MOLECULES AND ONCOLOGY",
        "region": "",
        "function": "",
        "legal_entity": "Takeda Indonesia",
        "address": "Jl. Pangeran Diponegoro KM.38,Tambun, Bekasi,17510",
        "is_internal": true,
        "risk_owner": null,
        "risk_coordinator": {
          "display_name": "Prasanth Palani ",
          "email_id": "prasanth.palani@takeda.com"
        },
        "risk_manager": null,
        "products": [],
        "site_image_url": "/brand/Risk/bekasi.png"
      },
      {
        "id": 1,
        "name": "BRAY",
        "type": "Manufacturing",
        "country": "Ireland",
        "opu": "SMALL MOLECULES AND ONCOLOGY",
        "region": "",
        "function": "",
        "legal_entity": "Takeda Ireland - Bray",
        "address": "Bray Business Park, Kilruddery, Co. Wicklow,Bray,A98 CD36",
        "is_internal": true,
        "risk_owner": null,
        "risk_coordinator": null,
        "risk_manager": null,
        "products": [
          "ALUNBRIG",
          "ICLUSIG",
          "LIVTENCITY",
          "TAK-935 SOTICLESTAT",
          "TAKECAB"
        ],
        "site_image_url": "/brand/Risk/bray.png"
      },
      {
        "id": 5,
        "name": "BROOKLYN PARK",
        "type": "Manufacturing",
        "country": "UNITED STATES OF AMERICA",
        "opu": "BIOLOGICS",
        "region": "MN",
        "function": "",
        "legal_entity": "Takeda Manufacturing USA, Inc.",
        "address": "9450 Winnetka Avenue North,Brooklyn Park,55445",
        "is_internal": true,
        "risk_owner": {
          "display_name": "Tom Lego",
          "email_id": "Thomas.Lego@takeda.com"
        },
        "risk_coordinator": {
          "display_name": "Prasanth Palani ",
          "email_id": "prasanth.palani@takeda.com"
        },
        "risk_manager": {
          "display_name": "Leela Akkala ",
          "email_id": "leela.akkala@takeda.com"
        },
        "products": [
          "ENTYVIO",
          "ADCETRIS"
        ],
        "site_image_url": "/brand/Risk/brooklynpark.png"
      },
      {
        "id": 6,
        "name": "COVINGTON",
        "type": "Manufacturing",
        "country": " United States",
        "opu": "PLASMA",
        "region": "GA",
        "function": "",
        "legal_entity": "Covington Manufacturing Facility",
        "address": "505 Shire Parkway,Social Circle,30025",
        "is_internal": true,
        "risk_owner": {
          "display_name": "Cyril Buckley",
          "email_id": "cyril.buckley@takeda.com"
        },
        "risk_coordinator": {
          "display_name": "Charlotte Erland",
          "email_id": "charlotte.erland@takeda.com"
        },
        "risk_manager": {
          "display_name": "Kori Schultz",
          "email_id": "kori.schultz@takeda.com"
        },
        "products": [
          "FLEXBUMIN",
          "GAMMAGARD LIQUID/KIOVIG"
        ],
        "site_image_url": "/brand/Risk/covington.png"
      },
      {
        "id": 7,
        "name": "GRANGE CASTLE",
        "type": "Manufacturing",
        "country": "Ireland",
        "opu": "SMALL MOLECULES AND ONCOLOGY",
        "region": "",
        "function": "",
        "legal_entity": "Takeda Ireland Ltd ",
        "address": "Grange Castle Business Park,Dublin,22",
        "is_internal": true,
        "risk_owner": {
          "display_name": "Paul Keogh",
          "email_id": "Paul.Keogh@Takeda.com"
        },
        "risk_coordinator": {
          "display_name": "Michelle Farrell",
          "email_id": "michelle.farrell@takeda.com"
        },
        "risk_manager": null,
        "products": [
          "TAKECAB",
          "NINLARO"
        ],
        "site_image_url": "/brand/Risk/grangecastle.png"
      },
      {
        "id": 8,
        "name": "HIKARI",
        "type": "Manufacturing",
        "country": "Japan",
        "opu": "JAPAN REGION",
        "region": "",
        "function": "",
        "legal_entity": "Takeda Pharmaceutical Company Limited",
        "address": "4720 Takeda, Mitsui, Hikari City,Yamaguchi 743-8502",
        "is_internal": true,
        "risk_owner": {
          "display_name": "Hideki Fujiwara ",
          "email_id": "hideki.fujiwara@takeda.com"
        },
        "risk_coordinator": {
          "display_name": "Tsuyoshi Kawabe ",
          "email_id": "tsuyoshi.kawabe@takeda.com"
        },
        "risk_manager": {
          "display_name": "Satoshi Ito ",
          "email_id": "satoshi.ito@takeda.com"
        },
        "products": [
          "ENTYVIO",
          "TAKHZYRO",
          "LEUPRORELIN",
          "TAKECAB",
          "VECTIBIX",
          "ADCETRIS",
          "ALUNBRIG",
          "TRINTELLIX"
        ],
        "site_image_url": "/brand/Risk/hikari.png"
      },
      {
        "id": 9,
        "name": "JAGUARIUNA",
        "type": "Manufacturing",
        "country": "Brazil",
        "opu": "SMALL MOLECULES AND ONCOLOGY",
        "region": "",
        "function": "",
        "legal_entity": "Takeda Pharma Ltda",
        "address": "RODOVIA SP 340 KM 133 + 500 M,JAGUARIUNA,CEP 13.916-072",
        "is_internal": true,
        "risk_owner": {
          "display_name": "Luiz Roque Neto",
          "email_id": "luiz.neto@takeda.com"
        },
        "risk_coordinator": {
          "display_name": "Thaila Ponte",
          "email_id": "Thaila.Ponte@takeda.com"
        },
        "risk_manager": null,
        "products": [
          "DEXILANT"
        ],
        "site_image_url": "/brand/Risk/jaguariuna.png"
      },
      {
        "id": 10,
        "name": "LESSINES",
        "type": "Manufacturing",
        "country": "Belgium",
        "opu": "PLASMA",
        "region": "",
        "function": "",
        "legal_entity": "Baxalta Belgium Manufacturing S.A.",
        "address": "80 Boulevard René Branquart,Lessines,7860",
        "is_internal": true,
        "risk_owner": {
          "display_name": "Geoffrey Pot",
          "email_id": "geoffrey.pot@takeda.com"
        },
        "risk_coordinator": {
          "display_name": "Valery Lepers",
          "email_id": "valery.lepers@takeda.com"
        },
        "risk_manager": null,
        "products": [
          "ADVATE",
          "CUVITRU",
          "GAMMAGARD LIQUID/KIOVIG"
        ],
        "site_image_url": "/brand/Risk/lessines.png"
      },
      {
        "id": 11,
        "name": "LEXINGTON",
        "type": "Manufacturing",
        "country": "UNITED STATES OF AMERICA",
        "opu": "BIOLOGICS",
        "region": "",
        "function": "",
        "legal_entity": "Shire Human Genetic Therapies, Inc.",
        "address": "300 &amp; 400 Shire Way,Lexington",
        "is_internal": true,
        "risk_owner": {
          "display_name": "Natalie Friel",
          "email_id": "natalie.friel@takeda.com"
        },
        "risk_coordinator": {
          "display_name": "Eduart Golloshi",
          "email_id": "eduart.golloshi@takeda.com"
        },
        "risk_manager": null,
        "products": [
          "ELAPRASE",
          "REPLAGAL",
          "TAKHZYRO",
          "VPRIV"
        ],
        "site_image_url": "/brand/Risk/lexington.png"
      },
      {
        "id": 12,
        "name": "LINZ",
        "type": "Manufacturing",
        "country": "Austria",
        "opu": "SMALL MOLECULES AND ONCOLOGY",
        "region": "",
        "function": "",
        "legal_entity": "Takeda Austria GmbH",
        "address": "St. Peter-Straße 25,Linz,4020",
        "is_internal": true,
        "risk_owner": {
          "display_name": "Roland Fabris",
          "email_id": "Roland.Fabris@takeda.com"
        },
        "risk_coordinator": {
          "display_name": "Alfred Josef Hopfner-Heindl",
          "email_id": "Alfred.Hopfner-Heindl@takeda.com"
        },
        "risk_manager": null,
        "products": [
          "ENTYVIO",
          "TAKHZYRO",
          "ADCETRIS",
          "MEPACT"
        ],
        "site_image_url": "/brand/Risk/linz.png"
      },
      {
        "id": 13,
        "name": "LOS ANGELES",
        "type": "Manufacturing",
        "country": "UNITED STATES OF AMERICA",
        "opu": "PLASMA",
        "region": "CA",
        "function": "",
        "legal_entity": "Baxalta US Inc.",
        "address": "4501 Colorado Boulevard,Los Angeles,90039",
        "is_internal": true,
        "risk_owner": {
          "display_name": "Babak Haghiri",
          "email_id": "babak.haghiri@takeda.com"
        },
        "risk_coordinator": {
          "display_name": "Angelica Nava-Gutierrez",
          "email_id": "angelica.nava-gutierrez@takeda.com"
        },
        "risk_manager": {
          "display_name": "T.K. Kim",
          "email_id": "tk.kim@takeda.com"
        },
        "products": [
          "CUVITRU",
          "FLEXBUMIN",
          "GAMMAGARD LIQUID/KIOVIG",
          "HYQVIA"
        ],
        "site_image_url": "/brand/Risk/losangeles.png"
      },
      {
        "id": 14,
        "name": "MADRID",
        "type": "Manufacturing",
        "country": "Spain",
        "opu": "BIOLOGICS",
        "region": "",
        "function": "",
        "legal_entity": "Madrid Mftg Site",
        "address": "c/Marconi, 1, Parque Tecnológico de Madrid,Madrid,28760",
        "is_internal": true,
        "risk_owner": {
          "display_name": "Maria del Pilar Redondo Pastor",
          "email_id": "Pilar.Redondo@takeda.com"
        },
        "risk_coordinator": {
          "display_name": "Israel Jimenez Manjarrez",
          "email_id": "Israel.Jimenez@takeda.com"
        },
        "risk_manager": null,
        "products": [
          "ALOFISEL"
        ],
        "site_image_url": "/brand/Risk/madrid.png"
      },
      {
        "id": 15,
        "name": "NARITA",
        "type": "Manufacturing",
        "country": "Japan",
        "opu": "JAPAN REGION",
        "region": "",
        "function": "",
        "legal_entity": "Narita Mftg site",
        "address": "3-1, Shin-izumi,Narita,Chiba,286-0825",
        "is_internal": true,
        "risk_owner": {
          "display_name": "Takeharu Michioka ",
          "email_id": "takeharu.michioka@takeda.com"
        },
        "risk_coordinator": {
          "display_name": "Tetsuya Kotai ",
          "email_id": "tetsuya.kotai@takeda.com"
        },
        "risk_manager": {
          "display_name": "Akiko Yamada ",
          "email_id": "akiko.yamada@takeda.com"
        },
        "products": [
          "CUVITRU",
          "ALBUMIN"
        ],
        "site_image_url": "/brand/Risk/narita.png"
      },
      {
        "id": 16,
        "name": "NAUCALPAN",
        "type": "Manufacturing",
        "country": "Mexico",
        "opu": "SMALL MOLECULES AND ONCOLOGY",
        "region": "",
        "function": "",
        "legal_entity": "Takeda México, S.A. DEC.V.",
        "address": "Av. Primero de Mayo 130, Col. IndustrialAtoto,Naucalpan de Juárez, Estado de Mexico.",
        "is_internal": true,
        "risk_owner": {
          "display_name": "Claudia Bizello",
          "email_id": "claudia.bizello@takeda.com"
        },
        "risk_coordinator": {
          "display_name": "Juan Ponce Sandoval",
          "email_id": "Juan-Manuel.Ponce@takeda.com"
        },
        "risk_manager": {
          "display_name": "Vianney Chavez Rodal",
          "email_id": "Vianney.Chavez@takeda.com"
        },
        "products": [
          "DEXILANT"
        ],
        "site_image_url": "/brand/Risk/naucalpan.png"
      },
      {
        "id": 17,
        "name": "NEUCHATEL",
        "type": "Manufacturing",
        "country": "Switzerland",
        "opu": "BIOLOGICS",
        "region": "",
        "function": "",
        "legal_entity": "Baxalta Manufacturing S.A.R.L.",
        "address": "Route de Pierre-à-Bot 111,Neuchâtel,2000",
        "is_internal": true,
        "risk_owner": {
          "display_name": "Sebastien Bourgeois",
          "email_id": "sebastien.bourgeois@takeda.com"
        },
        "risk_coordinator": {
          "display_name": "Jérôme Veyret",
          "email_id": "jerome.veyret@takeda.com"
        },
        "risk_manager": null,
        "products": [
          "ADVATE",
          "ADYNOVATE",
          "VONVENDI"
        ],
        "site_image_url": "/brand/Risk/neuchatel.png"
      },
      {
        "id": 18,
        "name": "ORANIENBURG",
        "type": "Manufacturing",
        "country": "Germany",
        "opu": "SMALL MOLECULES AND ONCOLOGY",
        "region": "",
        "function": "",
        "legal_entity": "Takeda GmbH - Plant Oriannenburg",
        "address": "Lehnitzstraße 70 – 98,Oranienburg,16515",
        "is_internal": true,
        "risk_owner": {
          "display_name": "Chris Buttkus",
          "email_id": "chris.buttkus@takeda.com"
        },
        "risk_coordinator": {
          "display_name": "Falk Missfelder",
          "email_id": "falk.missfelder@takeda.com"
        },
        "risk_manager": null,
        "products": [
          "DEXILANT",
          "PANTOPRAZOLE",
          "TRINTELLIX",
          "VYVANSE"
        ],
        "site_image_url": "/brand/Risk/oranienburg.png"
      },
      {
        "id": 19,
        "name": "OSAKA",
        "type": "Manufacturing",
        "country": "Japan",
        "opu": "JAPAN REGION",
        "region": "",
        "function": "",
        "legal_entity": "Osaka Mftg site ",
        "address": "17-85 Jusohonmachi 2-chome, Yodogawa-ku,Osaka,532-8686",
        "is_internal": true,
        "risk_owner": {
          "display_name": "Akihiro Yamada ",
          "email_id": "akihiro.yamada@takeda.com"
        },
        "risk_coordinator": {
          "display_name": "Norihiko Kurebayashi ",
          "email_id": "norihiko.kurebayashi@takeda.com"
        },
        "risk_manager": null,
        "products": [
          "ALOFISEL",
          "LEUPRORELIN"
        ],
        "site_image_url": "/brand/Risk/osaka.png"
      },
      {
        "id": 20,
        "name": "PISA",
        "type": "Manufacturing",
        "country": "Italy",
        "opu": "PLASMA",
        "region": "",
        "function": "",
        "legal_entity": "Takeda Manufacturing Italia S.p.A.",
        "address": "Via Giovan Battista Oliva, 2 Ospedaletto,Pisa,56121",
        "is_internal": true,
        "risk_owner": {
          "display_name": "Francesca Micheli",
          "email_id": "francesca.micheli@takeda.com"
        },
        "risk_coordinator": {
          "display_name": "Sandro Starace",
          "email_id": "sandro.starace@takeda.com"
        },
        "risk_manager": {
          "display_name": "Alessandra Guadagnoli",
          "email_id": "alessandra.guadagnoli@takeda.com"
        },
        "products": [
          "ALBUMIN"
        ],
        "site_image_url": "/brand/Risk/pisa.png"
      },
      {
        "id": 21,
        "name": "RIETI",
        "type": "Manufacturing",
        "country": "Italy",
        "opu": "PLASMA",
        "region": "",
        "function": "",
        "legal_entity": "Takeda Manufacturing Italia S.p.A.",
        "address": "Via della Chimica 5, S. Rufina – Cittaducale,Rieti,2015",
        "is_internal": true,
        "risk_owner": {
          "display_name": "Francesca Micheli",
          "email_id": "francesca.micheli@takeda.com"
        },
        "risk_coordinator": {
          "display_name": "Sandro Starace",
          "email_id": "sandro.starace@takeda.com"
        },
        "risk_manager": {
          "display_name": "Viviana Massimiliani",
          "email_id": "viviana.massimiliani@takeda.com"
        },
        "products": [
          "CUVITRU",
          "FEIBA",
          "FLEXBUMIN",
          "GAMMAGARD LIQUID/KIOVIG",
          "GAMMAGARD SD / LOW IGA",
          "ALBUMIN",
          "HYQVIA"
        ],
        "site_image_url": "/brand/Risk/rieti.png"
      },
      {
        "id": 22,
        "name": "ROUND LAKE",
        "type": "Manufacturing",
        "country": "UNITED STATES OF AMERICA",
        "opu": "PLASMA",
        "region": "IL",
        "function": "",
        "legal_entity": "TPUSA Round Lake Site",
        "address": "25212 West Illinois Route 120,Round Lake,60073",
        "is_internal": true,
        "risk_owner": {
          "display_name": "Cary Wauters",
          "email_id": "cary.wauters@takeda.com"
        },
        "risk_coordinator": {
          "display_name": "Dow Carter",
          "email_id": "dow.carter@takeda.com"
        },
        "risk_manager": null,
        "products": [
          "FLEXBUMIN"
        ],
        "site_image_url": "/brand/Risk/roundlake.png"
      },
      {
        "id": 23,
        "name": "SINGAPORE",
        "type": "Manufacturing",
        "country": "Singapore",
        "opu": "BIOLOGICS",
        "region": "",
        "function": "",
        "legal_entity": "Takeda MFG SG PteLtd",
        "address": "2A Woodlands Industrial Park D Street 2,Singapore,737779",
        "is_internal": true,
        "risk_owner": {
          "display_name": "George Lam",
          "email_id": "george.lam@takeda.com"
        },
        "risk_coordinator": {
          "display_name": "Edward Liu",
          "email_id": "edward.liu@takeda.com"
        },
        "risk_manager": null,
        "products": [
          "ADYNOVATE",
          "RIXUBIS",
          "ADZYNMA (TAK-755)",
          "ADVATE"
        ],
        "site_image_url": "/brand/Risk/singapore.png"
      },
      {
        "id": 24,
        "name": "THOUSAND OAKS",
        "type": "Manufacturing",
        "country": "UNITED STATES OF AMERICA",
        "opu": "BIOLOGICS",
        "region": "",
        "function": "",
        "legal_entity": "Takeda Pharma U.S.A.",
        "address": "1700 Rancho Conejo Blvd,Thousand Oaks,91320",
        "is_internal": true,
        "risk_owner": {
          "display_name": "Stephen Hatke",
          "email_id": "stephen.hatke@takeda.com"
        },
        "risk_coordinator": {
          "display_name": "Lisa Garcia",
          "email_id": "lisa.garcia@takeda.com"
        },
        "risk_manager": null,
        "products": [
          "ADVATE",
          "ADYNOVATE",
          "RECOMBINATE",
          "RIXUBIS",
          "VONVENDI"
        ],
        "site_image_url": "/brand/Risk/thousandoaks.png"
      },
      {
        "id": 25,
        "name": "TIANJIN",
        "type": "Manufacturing",
        "country": "China",
        "opu": "SMALL MOLECULES AND ONCOLOGY",
        "region": "",
        "function": "",
        "legal_entity": "Tianjin Takeda Pharmaceuticals Co., Ltd.",
        "address": "No.11 Xinghua Road, Xiqing area,Tianjin,300385",
        "is_internal": true,
        "risk_owner": {
          "display_name": "Tao Hong ",
          "email_id": "Tao.Hong@takeda.com"
        },
        "risk_coordinator": {
          "display_name": "Diogo Portapila",
          "email_id": "Diogo.Portapila@takeda.com"
        },
        "risk_manager": {
          "display_name": "Yongfu Gao ",
          "email_id": "Yongfu.Gao@takeda.com"
        },
        "products": [],
        "site_image_url": "/brand/Risk/tianjin.png"
      },
      {
        "id": 26,
        "name": "VASHI",
        "type": "Manufacturing",
        "country": "India",
        "opu": "SMALL MOLECULES AND ONCOLOGY",
        "region": "",
        "function": "",
        "legal_entity": "ZYDUS TAKEDA HEALTHCARE P LTD",
        "address": "C-4, MIDC, Village Pawne, Thane Belapur Road, Vashi,Navi Mumbai,400703",
        "is_internal": true,
        "risk_owner": {
          "display_name": "Upendra Bahuguna",
          "email_id": "Upendra.Bahuguna@zydustakeda.com"
        },
        "risk_coordinator": {
          "display_name": "Kiran Patil",
          "email_id": "Kiran1.patil@zydustakeda.com"
        },
        "risk_manager": {
          "display_name": "Atul Kumar",
          "email_id": "atul.kumar1@takeda.com"
        },
        "products": [
          "PANTOPRAZOLE"
        ],
        "site_image_url": "/brand/Risk/vashi.png"
      },
      {
        "id": 2,
        "name": "VIENNA",
        "type": "Manufacturing",
        "country": "Austria",
        "opu": "PLASMA",
        "region": "",
        "function": "",
        "legal_entity": "Takeda Manufacturing Austria AG",
        "address": "Industriestraße 67,Vienna,1221",
        "is_internal": true,
        "risk_owner": {
          "display_name": "Maria Löflund",
          "email_id": "maria.loeflund@takeda.com"
        },
        "risk_coordinator": {
          "display_name": "Miriam Kaundert",
          "email_id": "miriam.kaundert@takeda.com"
        },
        "risk_manager": {
          "display_name": "Stefanie Weidenauer",
          "email_id": "stefanie.weidenauer@takeda.com"
        },
        "products": [
          "GAMMAGARD SD / LOW IGA",
          "TAK-880 LOW IG-A",
          "TAK-881 20% FSCIG",
          "PROTHROMPLEX (PKT)",
          "ADVATE",
          "ALOFISEL",
          "OBIZUR",
          "TAKHZYRO",
          "VONVENDI",
          "ALBUMIN",
          "CEPROTIN",
          "CUVITRU",
          "FEIBA",
          "FLEXBUMIN",
          "GAMMAGARD LIQUID/KIOVIG",
          "HYQVIA"
        ],
        "site_image_url": "/brand/Risk/vienna.png"
      },
      {
        "id": 27,
        "name": "YAROSLAVL",
        "type": "Manufacturing",
        "country": "Russia",
        "opu": "SMALL MOLECULES AND ONCOLOGY",
        "region": "",
        "function": "",
        "legal_entity": "Takeda Yaroslavl LLC",
        "address": "9, Tekhnoparkovaya street,Yaroslavl,150030",
        "is_internal": true,
        "risk_owner": {
          "display_name": "Anastasia Taranova ",
          "email_id": "anastasia.simonova@takeda.com"
        },
        "risk_coordinator": {
          "display_name": "Margarita Rassokhina ",
          "email_id": "margarita.rassokhina@takeda.com"
        },
        "risk_manager": null,
        "products": [
          "NINLARO"
        ],
        "site_image_url": "/brand/Risk/yaroslavl.png"
      }
    ]
  }
}</t>
  </si>
  <si>
    <t> </t>
  </si>
  <si>
    <t>TC4_Risk_VerifyProcessQualityQuery</t>
  </si>
  <si>
    <t>/process-quality/graphql</t>
  </si>
  <si>
    <t>query MyQuery {
  fetch_process_quality_details(
    param_value: {manufacturing_stage: "Drug Substance", clinical_code: "TAK-279", site_name: "Cambrex Charles City"}
  ) {
    clinical_code
    data_source
    load_time_stamp
    manufacturing_stage
    opu
    process_id
    process_name
    site
    ... on TechTransfer {
      process_id
      process_name
      clinical_code
      data_source
      load_time_stamp
      manufacturing_stage
      opu
      project_id
      receiving_unit
      sending_unit
      site
      user_name
      sub_process {
        input_output_yield_percentage
        operation_unit
        stage
        batch_volume {
          maximum_volume
          minimum_volume
          process_volume_range
          stage_name
        }
        equipments {
          equipment_code
          equipment_id
          equipment_name
          equipment_type
          material_of_construction
        }
        solubility {
          material_name
          solubility_description
          solubility_value
          solvent_name
        }
        stability {
          details {
            peak_id
            stability_attributes {
              comment_description
              parameter_name
              parameter_value
              uom_description
            }
          }
          solution_name
        }
      }
      workspace_id
      workspace_name
    }
  }
}</t>
  </si>
  <si>
    <t xml:space="preserve">{
  "data": {
    "fetch_process_quality_details": {
      "clinical_code": "TAK-279",
      "data_source": "Sphera Stature",
      "load_time_stamp": "2026-03-23T20:03:41.762+00:00",
      "manufacturing_stage": "Drug Substance",
      "opu": [
        "SMALL MOLECULES &amp; ONCOLOGY"
      ],
      "process_id": "1000093014",
      "process_name": "TAK-279 QbD RM_DRAFT_10-10-2025_1",
      "site": [
        "Cambrex Charles City"
      ],
      "project_id": null,
      "receiving_unit": null,
      "sending_unit": null,
      "user_name": null,
      "sub_process": [
        {
          "input_output_yield_percentage": null,
          "operation_unit": null,
          "stage": "Step 3",
          "batch_volume": [
            {
              "maximum_volume": "1353 gallons / 5122 L",
              "minimum_volume": "198 gallons/ 750 L",
              "process_volume_range": null,
              "stage_name": "Step 3"
            }
          ],
          "equipments": [
            {
              "equipment_code": "T-4562",
              "equipment_id": 1027902455,
              "equipment_name": "7000 Gallon Tank",
              "equipment_type": "Tank",
              "material_of_construction": null
            },
            {
              "equipment_code": "F-4560",
              "equipment_id": 1027902572,
              "equipment_name": "6 m2 Agitated Filter Dryer",
              "equipment_type": "Filtration System",
              "material_of_construction": null
            },
            {
              "equipment_code": "T-5501",
              "equipment_id": 1027901927,
              "equipment_name": "500 Gallon Tank",
              "equipment_type": "Tank",
              "material_of_construction": null
            },
            {
              "equipment_code": "R-4554",
              "equipment_id": 1027900358,
              "equipment_name": "4000 Gallon Reactor",
              "equipment_type": "Reactor",
              "material_of_construction": null
            },
            {
              "equipment_code": "R-4432",
              "equipment_id": 1027905575,
              "equipment_name": "4000 Gallon Reactor",
              "equipment_type": "Reactor",
              "material_of_construction": null
            },
            {
              "equipment_code": "R-4554",
              "equipment_id": 1027902129,
              "equipment_name": "4000 Gallon Reactor",
              "equipment_type": "Reactor",
              "material_of_construction": null
            },
            {
              "equipment_code": "R-4554",
              "equipment_id": 1027902451,
              "equipment_name": "4000 Gallon Reactor",
              "equipment_type": "Reactor",
              "material_of_construction": null
            },
            {
              "equipment_code": "R-4554",
              "equipment_id": 1027904271,
              "equipment_name": "4000 Gallon Reactor",
              "equipment_type": "Reactor",
              "material_of_construction": null
            },
            {
              "equipment_code": "H-4555",
              "equipment_id": 1027901755,
              "equipment_name": "Heat Exchanger",
              "equipment_type": null,
              "material_of_construction": null
            },
            {
              "equipment_code": "R-4554",
              "equipment_id": 1027903643,
              "equipment_name": "4000 Gallon Reactor",
              "equipment_type": "Reactor",
              "material_of_construction": null
            },
            {
              "equipment_code": "R-4432",
              "equipment_id": 1027905936,
              "equipment_name": "4000 Gallon Reactor",
              "equipment_type": "Reactor",
              "material_of_construction": null
            },
            {
              "equipment_code": "R-4554",
              "equipment_id": 1027902570,
              "equipment_name": "4000 Gallon Reactor",
              "equipment_type": "Reactor",
              "material_of_construction": null
            },
            {
              "equipment_code": "T-3301",
              "equipment_id": 1027905938,
              "equipment_name": "500 Gallon Tank",
              "equipment_type": "Tank",
              "material_of_construction": null
            },
            {
              "equipment_code": "R-4432",
              "equipment_id": 1027906960,
              "equipment_name": "4000 Gallon Reactor",
              "equipment_type": "Reactor",
              "material_of_construction": null
            },
            {
              "equipment_code": "R-4554",
              "equipment_id": 1027902308,
              "equipment_name": "4000 Gallon Reactor",
              "equipment_type": "Reactor",
              "material_of_construction": null
            },
            {
              "equipment_code": "T-4562",
              "equipment_id": 1027907375,
              "equipment_name": "7000 Gallon Tank",
              "equipment_type": "Tank",
              "material_of_construction": null
            },
            {
              "equipment_code": "R-4554",
              "equipment_id": 1027902063,
              "equipment_name": "4000 Gallon Reactor",
              "equipment_type": "Reactor",
              "material_of_construction": null
            },
            {
              "equipment_code": "R-4554",
              "equipment_id": 1027905228,
              "equipment_name": "4000 Gallon Reactor",
              "equipment_type": "Reactor",
              "material_of_construction": null
            },
            {
              "equipment_code": "R-4554",
              "equipment_id": 1027900933,
              "equipment_name": "4000 Gallon Reactor",
              "equipment_type": "Reactor",
              "material_of_construction": null
            },
            {
              "equipment_code": "T-3301",
              "equipment_id": 1027905728,
              "equipment_name": "500 Gallon Tank",
              "equipment_type": "Tank",
              "material_of_construction": null
            },
            {
              "equipment_code": "R-4554",
              "equipment_id": 1027902108,
              "equipment_name": "4000 Gallon Reactor",
              "equipment_type": "Reactor",
              "material_of_construction": null
            },
            {
              "equipment_code": "R-4554",
              "equipment_id": 1027903751,
              "equipment_name": "4000 Gallon Reactor",
              "equipment_type": "Reactor",
              "material_of_construction": null
            },
            {
              "equipment_code": "R-4554",
              "equipment_id": 1027904133,
              "equipment_name": "4000 Gallon Reactor",
              "equipment_type": "Reactor",
              "material_of_construction": null
            },
            {
              "equipment_code": "R-4554",
              "equipment_id": 1027905570,
              "equipment_name": "4000 Gallon Reactor",
              "equipment_type": "Reactor",
              "material_of_construction": null
            },
            {
              "equipment_code": "R-4432",
              "equipment_id": 1027906069,
              "equipment_name": "4000 Gallon Reactor",
              "equipment_type": "Reactor",
              "material_of_construction": null
            },
            {
              "equipment_code": "R-4554",
              "equipment_id": 1027901387,
              "equipment_name": "4000 Gallon Reactor",
              "equipment_type": "Reactor",
              "material_of_construction": null
            },
            {
              "equipment_code": "R-4432",
              "equipment_id": 1027906909,
              "equipment_name": "4000 Gallon Reactor",
              "equipment_type": "Reactor",
              "material_of_construction": null
            },
            {
              "equipment_code": "R-4558",
              "equipment_id": 1027905372,
              "equipment_name": "2000 Gallon Reactor",
              "equipment_type": "Reactor",
              "material_of_construction": null
            },
            {
              "equipment_code": "R-4554",
              "equipment_id": 1027901669,
              "equipment_name": "4000 Gallon Reactor",
              "equipment_type": "Reactor",
              "material_of_construction": null
            },
            {
              "equipment_code": "R-4432",
              "equipment_id": 1027906373,
              "equipment_name": "4000 Gallon Reactor",
              "equipment_type": "Reactor",
              "material_of_construction": null
            },
            {
              "equipment_code": "R-4432",
              "equipment_id": 1027906503,
              "equipment_name": "4000 Gallon Reactor",
              "equipment_type": "Reactor",
              "material_of_construction": null
            },
            {
              "equipment_code": "R-4558",
              "equipment_id": 1027904446,
              "equipment_name": "2000 Gallon Reactor",
              "equipment_type": "Reactor",
              "material_of_construction": null
            },
            {
              "equipment_code": "R-4554",
              "equipment_id": 1027901488,
              "equipment_name": "4000 Gallon Reactor",
              "equipment_type": "Reactor",
              "material_of_construction": null
            },
            {
              "equipment_code": "R-4554",
              "equipment_id": 1027900696,
              "equipment_name": "4000 Gallon Reactor",
              "equipment_type": "Reactor",
              "material_of_construction": null
            },
            {
              "equipment_code": "R-4554",
              "equipment_id": 1027905171,
              "equipment_name": "4000 Gallon Reactor",
              "equipment_type": "Reactor",
              "material_of_construction": null
            },
            {
              "equipment_code": "R-4432",
              "equipment_id": 1027905465,
              "equipment_name": "4000 Gallon Reactor",
              "equipment_type": "Reactor",
              "material_of_construction": null
            },
            {
              "equipment_code": "R-4554",
              "equipment_id": 1027904974,
              "equipment_name": "4000 Gallon Reactor",
              "equipment_type": "Reactor",
              "material_of_construction": null
            },
            {
              "equipment_code": "R-4432",
              "equipment_id": 1027906393,
              "equipment_name": "4000 Gallon Reactor",
              "equipment_type": "Reactor",
              "material_of_construction": null
            },
            {
              "equipment_code": "R-4554",
              "equipment_id": 1027901929,
              "equipment_name": "4000 Gallon Reactor",
              "equipment_type": "Reactor",
              "material_of_construction": null
            },
            {
              "equipment_code": "R-4432",
              "equipment_id": 1027906713,
              "equipment_name": "4000 Gallon Reactor",
              "equipment_type": "Reactor",
              "material_of_construction": null
            },
            {
              "equipment_code": "R-4554",
              "equipment_id": 1027904483,
              "equipment_name": "4000 Gallon Reactor",
              "equipment_type": "Reactor",
              "material_of_construction": null
            },
            {
              "equipment_code": "R-4558",
              "equipment_id": 1027903818,
              "equipment_name": "2000 Gallon Reactor",
              "equipment_type": "Reactor",
              "material_of_construction": null
            },
            {
              "equipment_code": "R-4554",
              "equipment_id": 1027901097,
              "equipment_name": "4000 Gallon Reactor",
              "equipment_type": "Reactor",
              "material_of_construction": null
            },
            {
              "equipment_code": "F-4560",
              "equipment_id": 1027907111,
              "equipment_name": "6 m2 Agitated Filter Dryer",
              "equipment_type": "Filtration System",
              "material_of_construction": null
            },
            {
              "equipment_code": "R-4432",
              "equipment_id": 1027906809,
              "equipment_name": "4000 Gallon Reactor",
              "equipment_type": "Reactor",
              "material_of_construction": null
            },
            {
              "equipment_code": "R-4432",
              "equipment_id": 1027907011,
              "equipment_name": "4000 Gallon Reactor",
              "equipment_type": "Reactor",
              "material_of_construction": null
            },
            {
              "equipment_code": "R-4554",
              "equipment_id": 1027902662,
              "equipment_name": "4000 Gallon Reactor",
              "equipment_type": "Reactor",
              "material_of_construction": null
            },
            {
              "equipment_code": "R-4432",
              "equipment_id": 1027907109,
              "equipment_name": "4000 Gallon Reactor",
              "equipment_type": "Reactor",
              "material_of_construction": null
            },
            {
              "equipment_code": "R-4554",
              "equipment_id": 1027901759,
              "equipment_name": "4000 Gallon Reactor",
              "equipment_type": "Reactor",
              "material_of_construction": null
            },
            {
              "equipment_code": "R-4554",
              "equipment_id": 1027901555,
              "equipment_name": "4000 Gallon Reactor",
              "equipment_type": "Reactor",
              "material_of_construction": null
            }
          ],
          "solubility": [
            {
              "material_name": "TR06854013",
              "solubility_description": "Soluble at RT",
              "solubility_value": "N/A",
              "solvent_name": "DMF"
            },
            {
              "material_name": "TR06854013",
              "solubility_description": "Not soluable at RT",
              "solubility_value": "N/A",
              "solvent_name": "5% acetic acid"
            },
            {
              "material_name": "TR06854013",
              "solubility_description": "Not soluable at RT",
              "solubility_value": "N/A",
              "solvent_name": "5% sodium hydroxide"
            },
            {
              "material_name": "TR06854013",
              "solubility_description": "Not soluable at RT",
              "solubility_value": "N/A",
              "solvent_name": "Isopropyl acetate"
            },
            {
              "material_name": "TR06854013",
              "solubility_description": "Partially soluble at RT",
              "solubility_value": "N/A",
              "solvent_name": "Acetone"
            },
            {
              "material_name": "TR06854013",
              "solubility_description": "Not soluble at RT; soluble on heating",
              "solubility_value": "N/A",
              "solvent_name": "Acetonitrile"
            },
            {
              "material_name": "TR06854013",
              "solubility_description": "Soluble at RT",
              "solubility_value": "N/A",
              "solvent_name": "50% acetic acid"
            },
            {
              "material_name": "TR06854013",
              "solubility_description": "Not soluable at RT; partially soluble on heating",
              "solubility_value": "N/A",
              "solvent_name": "Ethyl acetate"
            },
            {
              "material_name": "TR06854013",
              "solubility_description": "Partially soluble at RT",
              "solubility_value": "N/A",
              "solvent_name": "25% acetic acid"
            },
            {
              "material_name": "TR06854013",
              "solubility_description": "Not soluble at RT or on heating",
              "solubility_value": "N/A",
              "solvent_name": "CIP 100"
            },
            {
              "material_name": "TR06854013",
              "solubility_description": "Not soluble at RT or on heating",
              "solubility_value": "N/A",
              "solvent_name": "CIP 200"
            },
            {
              "material_name": "TR06854013",
              "solubility_description": "Slightly soluble at RT; Soluble on heating, but precipitated on cooling",
              "solubility_value": "N/A",
              "solvent_name": "Methanol"
            },
            {
              "material_name": "TR06854013",
              "solubility_description": "Soluble at RT",
              "solubility_value": "N/A",
              "solvent_name": "NMP"
            },
            {
              "material_name": "TR06854013",
              "solubility_description": "Not soluble at RT or on heating",
              "solubility_value": "N/A",
              "solvent_name": "Isopropanol"
            },
            {
              "material_name": "TR06854013",
              "solubility_description": "Not soluble at RT or on heating",
              "solubility_value": "N/A",
              "solvent_name": "Water"
            }
          ],
          "stability": [
            {
              "details": [
                {
                  "peak_id": "HMPL-013-I",
                  "stability_attributes": [
                    {
                      "comment_description": null,
                      "parameter_name": "4 h reflux",
                      "parameter_value": "ND",
                      "uom_description": "%Area"
                    }
                  ]
                },
                {
                  "peak_id": "RRT ~ 0.926",
                  "stability_attributes": [
                    {
                      "comment_description": null,
                      "parameter_name": "RRT",
                      "parameter_value": "0",
                      "uom_description": null
                    }
                  ]
                },
                {
                  "peak_id": "RRT ~ 1.556",
                  "stability_attributes": [
                    {
                      "comment_description": null,
                      "parameter_name": "RRT",
                      "parameter_value": "1",
                      "uom_description": null
                    },
                    {
                      "comment_description": null,
                      "parameter_name": "4 h reflux",
                      "parameter_value": "0",
                      "uom_description": null
                    }
                  ]
                },
                {
                  "peak_id": "RRT ~ 0.834",
                  "stability_attributes": [
                    {
                      "comment_description": null,
                      "parameter_name": "RT",
                      "parameter_value": "4",
                      "uom_description": null
                    }
                  ]
                },
                {
                  "peak_id": "RRT ~ 1.502",
                  "stability_attributes": [
                    {
                      "comment_description": null,
                      "parameter_name": "RRT",
                      "parameter_value": "1",
                      "uom_description": null
                    }
                  ]
                },
                {
                  "peak_id": "RRT ~ 1.346",
                  "stability_attributes": [
                    {
                      "comment_description": null,
                      "parameter_name": "4 h reflux",
                      "parameter_value": "0",
                      "uom_description": null
                    },
                    {
                      "comment_description": null,
                      "parameter_name": "RRT",
                      "parameter_value": "1",
                      "uom_description": null
                    }
                  ]
                },
                {
                  "peak_id": "RRT ~ 0.885",
                  "stability_attributes": [
                    {
                      "comment_description": null,
                      "parameter_name": "4 h reflux",
                      "parameter_value": "0",
                      "uom_description": null
                    },
                    {
                      "comment_description": null,
                      "parameter_name": "Room temperature",
                      "parameter_value": "ND",
                      "uom_description": "%Area"
                    },
                    {
                      "comment_description": null,
                      "parameter_name": "RT",
                      "parameter_value": "5",
                      "uom_description": null
                    }
                  ]
                },
                {
                  "peak_id": "HMPL-013-SM2",
                  "stability_attributes": [
                    {
                      "comment_description": null,
                      "parameter_name": "4 h reflux",
                      "parameter_value": "99",
                      "uom_description": null
                    }
                  ]
                },
                {
                  "peak_id": "RRT ~ 1.908",
                  "stability_attributes": [
                    {
                      "comment_description": null,
                      "parameter_name": "RRT",
                      "parameter_value": "1",
                      "uom_description": null
                    },
                    {
                      "comment_description": null,
                      "parameter_name": "RT",
                      "parameter_value": "11",
                      "uom_description": null
                    }
                  ]
                },
                {
                  "peak_id": "RRT ~ 1.140",
                  "stability_attributes": [
                    {
                      "comment_description": null,
                      "parameter_name": "RT",
                      "parameter_value": "6",
                      "uom_description": null
                    }
                  ]
                }
              ],
              "solution_name": "THF"
            }
          ]
        },
        {
          "input_output_yield_percentage": null,
          "operation_unit": null,
          "stage": "Step 1",
          "batch_volume": [
            {
              "maximum_volume": "997 gallons / 3774 L",
              "minimum_volume": "254 gallons / 962 L",
              "process_volume_range": null,
              "stage_name": "Step 1"
            }
          ],
          "equipments": [
            {
              "equipment_code": "R-3146",
              "equipment_id": 1027891582,
              "equipment_name": "2000 Gallon Reactor",
              "equipment_type": "Reactor",
              "material_of_construction": null
            },
            {
              "equipment_code": "R-3146",
              "equipment_id": 1027888813,
              "equipment_name": "2000 Gallon Reactor",
              "equipment_type": "Reactor",
              "material_of_construction": null
            },
            {
              "equipment_code": "R-3146",
              "equipment_id": 1027888730,
              "equipment_name": "2000 Gallon Reactor",
              "equipment_type": "Reactor",
              "material_of_construction": null
            },
            {
              "equipment_code": "R-3156",
              "equipment_id": 1027891312,
              "equipment_name": "1200 Gallon Reactor",
              "equipment_type": "Reactor",
              "material_of_construction": null
            },
            {
              "equipment_code": "T-3147",
              "equipment_id": 1027889139,
              "equipment_name": "500 Gallon Tank",
              "equipment_type": "Tank",
              "material_of_construction": null
            },
            {
              "equipment_code": "F-3388",
              "equipment_id": 1027891233,
              "equipment_name": "30\" Filter housing (3-Cartridge)",
              "equipment_type": "Filtration System",
              "material_of_construction": null
            },
            {
              "equipment_code": "F-3123 or F-2157",
              "equipment_id": 1027891232,
              "equipment_name": "36\" Sparkler filter",
              "equipment_type": "Filtration System",
              "material_of_construction": null
            },
            {
              "equipment_code": "R-3146",
              "equipment_id": 1027889544,
              "equipment_name": "2000 Gallon Reactor",
              "equipment_type": "Reactor",
              "material_of_construction": null
            },
            {
              "equipment_code": "R-3146",
              "equipment_id": 1027888981,
              "equipment_name": "2000 Gallon Reactor",
              "equipment_type": "Reactor",
              "material_of_construction": null
            },
            {
              "equipment_code": "R-3146",
              "equipment_id": 1027889723,
              "equipment_name": "2000 Gallon Reactor",
              "equipment_type": "Reactor",
              "material_of_construction": null
            },
            {
              "equipment_code": "R-3146",
              "equipment_id": 1027888506,
              "equipment_name": "2000 Gallon Reactor",
              "equipment_type": "Reactor",
              "material_of_construction": null
            },
            {
              "equipment_code": "R-3146",
              "equipment_id": 1027889456,
              "equipment_name": "2000 Gallon Reactor",
              "equipment_type": "Reactor",
              "material_of_construction": null
            },
            {
              "equipment_code": "R-3156",
              "equipment_id": 1027890869,
              "equipment_name": "1200 Gallon Reactor",
              "equipment_type": "Reactor",
              "material_of_construction": null
            },
            {
              "equipment_code": "R-3379 or similar",
              "equipment_id": 1027890421,
              "equipment_name": "Portable Reactor",
              "equipment_type": "Reactor",
              "material_of_construction": null
            },
            {
              "equipment_code": "T-3147",
              "equipment_id": 1027892340,
              "equipment_name": "500 Gallon Tank",
              "equipment_type": "Tank",
              "material_of_construction": null
            },
            {
              "equipment_code": "R-3146",
              "equipment_id": 1027889081,
              "equipment_name": "2000 Gallon Reactor",
              "equipment_type": "Reactor",
              "material_of_construction": null
            },
            {
              "equipment_code": "R-3156",
              "equipment_id": 1027890746,
              "equipment_name": "1200 Gallon Reactor",
              "equipment_type": "Reactor",
              "material_of_construction": null
            },
            {
              "equipment_code": "R-3156",
              "equipment_id": 1027890671,
              "equipment_name": "1200 Gallon Reactor",
              "equipment_type": "Reactor",
              "material_of_construction": null
            },
            {
              "equipment_code": "R-3146",
              "equipment_id": 1027890144,
              "equipment_name": "2000 Gallon Reactor",
              "equipment_type": "Reactor",
              "material_of_construction": null
            },
            {
              "equipment_code": "R-3146",
              "equipment_id": 1027892758,
              "equipment_name": "2000 Gallon Reactor",
              "equipment_type": "Reactor",
              "material_of_construction": null
            },
            {
              "equipment_code": "R-3146",
              "equipment_id": 1027891810,
              "equipment_name": "2000 Gallon Reactor",
              "equipment_type": "Reactor",
              "material_of_construction": null
            },
            {
              "equipment_code": "R-3146",
              "equipment_id": 1027892168,
              "equipment_name": "2000 Gallon Reactor",
              "equipment_type": "Reactor",
              "material_of_construction": null
            },
            {
              "equipment_code": "R-3146",
              "equipment_id": 1027888139,
              "equipment_name": "2000 Gallon Reactor",
              "equipment_type": "Reactor",
              "material_of_construction": null
            },
            {
              "equipment_code": "F-2107 or similar",
              "equipment_id": 1027892342,
              "equipment_name": "48\" Clamshell filter",
              "equipment_type": "Filtration System",
              "material_of_construction": null
            },
            {
              "equipment_code": "T-3147",
              "equipment_id": 1027891812,
              "equipment_name": "500 Gallon Tank",
              "equipment_type": "Tank",
              "material_of_construction": null
            },
            {
              "equipment_code": "R-3146",
              "equipment_id": 1027889508,
              "equipment_name": "2000 Gallon Reactor",
              "equipment_type": "Reactor",
              "material_of_construction": null
            },
            {
              "equipment_code": "T-3147",
              "equipment_id": 1027892716,
              "equipment_name": "500 Gallon Tank",
              "equipment_type": "Tank",
              "material_of_construction": null
            },
            {
              "equipment_code": "R-3178",
              "equipment_id": 1027891228,
              "equipment_name": "1000 Gallon Reactor",
              "equipment_type": "Reactor",
              "material_of_construction": null
            },
            {
              "equipment_code": "R-3379 or similar",
              "equipment_id": 1027890313,
              "equipment_name": "Portable Reactor",
              "equipment_type": "Reactor",
              "material_of_construction": null
            },
            {
              "equipment_code": "T-3147",
              "equipment_id": 1027889510,
              "equipment_name": "500 Gallon Tank",
              "equipment_type": "Tank",
              "material_of_construction": null
            },
            {
              "equipment_code": "R-3146",
              "equipment_id": 1027890059,
              "equipment_name": "2000 Gallon Reactor",
              "equipment_type": "Reactor",
              "material_of_construction": null
            },
            {
              "equipment_code": "R-3146",
              "equipment_id": 1027892462,
              "equipment_name": "2000 Gallon Reactor",
              "equipment_type": "Reactor",
              "material_of_construction": null
            },
            {
              "equipment_code": "R-3146",
              "equipment_id": 1027892549,
              "equipment_name": "2000 Gallon Reactor",
              "equipment_type": "Reactor",
              "material_of_construction": null
            },
            {
              "equipment_code": "R-3146",
              "equipment_id": 1027889137,
              "equipment_name": "2000 Gallon Reactor",
              "equipment_type": "Reactor",
              "material_of_construction": null
            },
            {
              "equipment_code": "R-3146",
              "equipment_id": 1027891230,
              "equipment_name": "2000 Gallon Reactor",
              "equipment_type": "Reactor",
              "material_of_construction": null
            },
            {
              "equipment_code": "R-3146",
              "equipment_id": 1027892653,
              "equipment_name": "2000 Gallon Reactor",
              "equipment_type": "Reactor",
              "material_of_construction": null
            },
            {
              "equipment_code": "R-3146",
              "equipment_id": 1027889828,
              "equipment_name": "2000 Gallon Reactor",
              "equipment_type": "Reactor",
              "material_of_construction": null
            },
            {
              "equipment_code": "R-3146",
              "equipment_id": 1027891715,
              "equipment_name": "2000 Gallon Reactor",
              "equipment_type": "Reactor",
              </t>
  </si>
  <si>
    <t xml:space="preserve">TestCaseName </t>
  </si>
  <si>
    <t>Wo</t>
  </si>
  <si>
    <t>Actual end date (Packaging)
Start date of finishin admin</t>
  </si>
  <si>
    <t>Actual End Date (Finishing admin)</t>
  </si>
  <si>
    <t>Date when first defect was captured in QA Review (Event: Defect: Date&amp;time)</t>
  </si>
  <si>
    <t>Actual End date (QA Review)</t>
  </si>
  <si>
    <t>Actual end date (Mfg Approval)</t>
  </si>
  <si>
    <t>Actual end date (QA Approval)</t>
  </si>
  <si>
    <t>End (permanent batch): Line -&gt; Admin [h]
F&amp;H
WO-Specialist</t>
  </si>
  <si>
    <t>End (continuous batch): Admin -&gt; QA BRR return [h]
H&amp;J
QA Review</t>
  </si>
  <si>
    <t>End (duration batch): correction loop Target≤18[h]
J&amp;K
Korrekturschleife MW</t>
  </si>
  <si>
    <t>End (duration batch): QA BRR-&gt; Approver [h]
K&amp;M
Genehmiger</t>
  </si>
  <si>
    <t>End (duration batch): Approver-&gt; CoC completion [h]
M&amp;O
CoC Abschluss</t>
  </si>
  <si>
    <t>Total time in days Line -&gt; CoC completion Target≤2[day] 
F&amp;O
Gesamtzeit</t>
  </si>
  <si>
    <t>TC1_Make_Vienna_NormalBatch_WithoutDefect_NoWeekendNoHoliday</t>
  </si>
  <si>
    <t>A1A066AAP1</t>
  </si>
  <si>
    <t>Data error</t>
  </si>
  <si>
    <t>TC2_Make_Vienna_NormalBatch_WithoutDefect_1WeekendNoHoliday</t>
  </si>
  <si>
    <t>A1A067AB</t>
  </si>
  <si>
    <t>TC3_Make_Vienna_NormalBatch_WithoutDefect_NoWeekend1Holiday</t>
  </si>
  <si>
    <t>A1A068ABP1</t>
  </si>
  <si>
    <t>TC4_Make_Vienna_NormalBatch_WithoutDefect_2orMoreWeekendNoHoliday</t>
  </si>
  <si>
    <t>TC5_Make_Vienna_NormalBatch_WithoutDefect_NoWeekendMultipleHoliday</t>
  </si>
  <si>
    <t>TC6_Make_Vienna_NormalBatch_WithoutDefect_HolidayFallingOnWeekend</t>
  </si>
  <si>
    <t>TC7_Make_Vienna_UrgentBatch_WithoutDefect_NoWeekendNoHoliday</t>
  </si>
  <si>
    <t>A1B680AA</t>
  </si>
  <si>
    <t>TC8_Make_Vienna_UrgentBatch_WithoutDefect_1WeekendNoHoliday</t>
  </si>
  <si>
    <t>A1B618AA</t>
  </si>
  <si>
    <t>TC9_Make_Vienna_UrgentBatch_WithoutDefect_NoWeekend1Holiday</t>
  </si>
  <si>
    <t>A1B679AA</t>
  </si>
  <si>
    <t>TC10_Make_Vienna_UrgentBatch_WithoutDefect_2orMoreWeekendNoHoliday</t>
  </si>
  <si>
    <t>A1B659AA</t>
  </si>
  <si>
    <t>TC11_Make_Vienna_UrgentBatch_WithoutDefect_NoWeekendMultipleHoliday</t>
  </si>
  <si>
    <t>A4B371AA</t>
  </si>
  <si>
    <t>TC12_Make_Vienna_UrgentBatch_WithoutDefect_HolidayFallingOnWeekend</t>
  </si>
  <si>
    <t>A1B233AA</t>
  </si>
  <si>
    <t>TC13_Make_Vienna_NormalAndUrgentBatch_WithoutDefect_NoWeekendNoHoliday</t>
  </si>
  <si>
    <t>A1B681AA</t>
  </si>
  <si>
    <t>TC14_Make_Vienna_NormalAndUrgentBatch_WithoutDefect_1WeekendNoHoliday</t>
  </si>
  <si>
    <t>A1B283AA</t>
  </si>
  <si>
    <t>TC15_Make_Vienna_NormalAndUrgentBatch_WithoutDefect_NoWeekend1Holiday</t>
  </si>
  <si>
    <t>C3B110AB</t>
  </si>
  <si>
    <t>TC16_Make_Vienna_NormalAndUrgentBatch_WithoutDefect_2orMoreWeekendNoHoliday</t>
  </si>
  <si>
    <t>A1B466AA</t>
  </si>
  <si>
    <t>TC17_Make_Vienna_NormalAndUrgentBatch_WithoutDefect_NoWeekendMultipleHoliday</t>
  </si>
  <si>
    <t>A4B257U1</t>
  </si>
  <si>
    <t>TC18_Make_Vienna_NormalAndUrgentBatch_WithoutDefect_HolidayFallingOnWeekend</t>
  </si>
  <si>
    <t>A1B464AA</t>
  </si>
  <si>
    <t>TC19_Make_Vienna_NormalBatch_WithDefect_NoWeekendNoHoliday</t>
  </si>
  <si>
    <t>C3B116AA</t>
  </si>
  <si>
    <t>TC20_Make_Vienna_NormalBatch_WithDefect_1WeekendNoHoliday</t>
  </si>
  <si>
    <t>VBRXG05AA</t>
  </si>
  <si>
    <t>TC21_Make_Vienna_NormalBatch_WithDefect_NoWeekend1Holiday</t>
  </si>
  <si>
    <t>A1B467AA</t>
  </si>
  <si>
    <t>TC22_Make_Vienna_NormalBatch_WithDefect_2orMoreWeekendNoHoliday</t>
  </si>
  <si>
    <t>C3B117AB</t>
  </si>
  <si>
    <t>TC23_Make_Vienna_NormalBatch_WithDefect_NoWeekendMultipleHoliday</t>
  </si>
  <si>
    <t>A1B416AA</t>
  </si>
  <si>
    <t>TC24_Make_Vienna_NormalBatch_WithDefect_HolidayFallingOnWeekend</t>
  </si>
  <si>
    <t>B6B006AF</t>
  </si>
  <si>
    <t>TC25_Make_Vienna_UrgentBatch_WithDefect_NoWeekendNoHoliday</t>
  </si>
  <si>
    <t>A1B671AA</t>
  </si>
  <si>
    <t>TC26_Make_Vienna_UrgentBatch_WithDefect_1WeekendNoHoliday</t>
  </si>
  <si>
    <t>A4B338AA</t>
  </si>
  <si>
    <t>TC27_Make_Vienna_UrgentlBatch_WithDefect_NoWeekend1Holiday</t>
  </si>
  <si>
    <t>A4B361AA</t>
  </si>
  <si>
    <t>TC28_Make_Vienna_UrgentlBatch_WithDefect_2orMoreWeekendNoHoliday</t>
  </si>
  <si>
    <t>A1B653AA</t>
  </si>
  <si>
    <t>TC29_Make_Vienna_UrgentBatch_WithDefect_NoWeekendMultipleHoliday</t>
  </si>
  <si>
    <t>A1B230AA</t>
  </si>
  <si>
    <t>TC30_Make_Vienna_UrgentBatch_WithDefect_HolidayFallingOnWeekend</t>
  </si>
  <si>
    <t>A1B539AA</t>
  </si>
  <si>
    <t>TC31_Make_Vienna_NormalAndUrgentBatch_WithDefect_NoWeekendNoHoliday</t>
  </si>
  <si>
    <t>A4B461AA</t>
  </si>
  <si>
    <t>TC32_Make_Vienna_NormalAndUrgentBatch_WithDefect_1WeekendNoHoliday</t>
  </si>
  <si>
    <t>C3B100AA</t>
  </si>
  <si>
    <t>TC33_Make_Vienna_NormalAndUrgentBatch_WithDefect_NoWeekend1Holiday</t>
  </si>
  <si>
    <t>C3B090AB</t>
  </si>
  <si>
    <t>TC34_Make_Vienna_NormalAndUrgentBatch_WithDefect_2orMoreWeekendNoHoliday</t>
  </si>
  <si>
    <t>B6B003AX</t>
  </si>
  <si>
    <t>TC35_Make_Vienna_NormalAndUrgentBatch_WithDefect_NoWeekendMultipleHoliday</t>
  </si>
  <si>
    <t>C3C001AA</t>
  </si>
  <si>
    <t>TC36_Make_Vienna_NormalAndUrgentBatch_WithDefect_HolidayFallingOnWeekend</t>
  </si>
  <si>
    <t>A1B417AA</t>
  </si>
  <si>
    <t>TC1_ Captain_Marvel_Add_Memberships</t>
  </si>
  <si>
    <t>/core/user-management/graphql</t>
  </si>
  <si>
    <t>{
  "query": "mutation MyMutation { addMemberships(membershipRequests: {userGroupId: \"3c311c3d-b394-465e-a1db-09f9caa85ade\", userEmpId: 50065693, accessRoleId: \"6965505e-965f-4495-892f-9240ec4bc32f\"}) { accessStatus accessRoleId status membershipDetails { valueDescription dimId value } requestedByEmpId reasonDescription reasonCatgDescription actionDatetime actionByEmpId userEmpId userGroupId } }"
}</t>
  </si>
  <si>
    <t>{
  "data": {
    "addMemberships": [
      {
        "accessStatus": "Access",
        "accessRoleId": "{accessRoleId}",
        "status": "valid",
        "membershipDetails": [],
        "reasonDescription": null,
        "reasonCatgDescription": null,
        "actionDatetime": null,   
        "userEmpId": {userEmpId},
        "userGroupId": "{userGroupId}"
      }
    ]
  }
}</t>
  </si>
  <si>
    <t>accessRoleId,userEmpId,userGroupId</t>
  </si>
  <si>
    <t>TC2_ Captain_Marvel_Add_Memberships</t>
  </si>
  <si>
    <t>{
  "data": {
    "addMemberships": [
      {
        "accessStatus": "Access",
        "accessRoleId": "{accessRoleId}",
        "status": "invalid",
        "membershipDetails": [],
        "reasonDescription": null,
        "reasonCatgDescription": null,
        "actionDatetime": null,   
        "userEmpId": {userEmpId},
        "userGroupId": "{userGroupId}"
      }
    ]
  }
}</t>
  </si>
  <si>
    <t>TC_Ship_Get_Batch_details</t>
  </si>
  <si>
    <t>/batches/api/v1/batch-details/A4A095</t>
  </si>
  <si>
    <t>{
  "status": "Success",
  "data": {
    "batch_details": [
      {
        "batch_number": "{batch_number}",
        "creation_date": null,
        "modified_date": null,
        "brand_name": "Albumin NG",
        "manufacture_stage": "FDP",
        "batch_progress": "Completed",
        "status": "Completed",
        "potency": "20.00% 50ml",
        "assign_to": [],
        "swimlane_target_date": "2023-02-28T00:00:00Z",
        "reason_for_delay": [],
        "atp_date": "2024-04-30T00:00:00Z",
        "swimlane": "Finishing Admin",
        "swimlane_start_date": null,
        "swimlane_end_date": null,
        "projected_swimlane_end_date": null,
        "opu": "PLASMA",
        "site": "VIENNA",
        "error_correction_date": null
      }
    ],
    "sku_details": [
      {
        "sku_description": "ALB,20%,50ML,CN,HEP,ETOH25%",
        "sku_number": "7572571",
        "sku_country": "FILLED/UNLABELED",
        "stocking_type": "M",
        "brand_code": "032",
        "manufacture_stage_code": "FUV",
        "brand_description": "NHA",
        "order_prep_days": null,
        "bom_effective_date": null,
        "potency_desc": "20.00% 50ml",
        "planner_number": "210002"
      }
    ],
    "wo_details": [
      {
        "work_order_number": "5480493",
        "work_order_status": "98",
        "work_order_reference_description": "{batch_number} // AFA094 PPQ Opt6",
        "work_order_lot_information": "PPQ EtOH Opt6",
        "work_order_date": "2023-01-21",
        "work_order_request_date": "2023-02-24",
        "ordered_quantity": 13690,
        "shipped_quantity": 13654,
        "work_order_type": "WO",
        "related_type": "",
        "expiry_date": "2026-01-31",
        "shelf_life": "1080",
        "suitable_for_country": null,
        "jde_batch_status": "",
        "uom_name": "EA"
      }
    ],
    "so_details": [
      {
        "ship_to_location_id": "145342",
        "ship_to_location_name": null,
        "plant_name": "VN1",
        "sales_order_number": "50251",
        "line_number": 937,
        "quantity_shipped": 150,
        "ship_out_date_initially_planned": "2025-12-31",
        "ship_out_date": "2025-12-31T00:00:00",
        "line_type": "S",
        "storage_location": "HRL01",
        "ship_to_country": "conf. lot China auth. test WB"
      }
    ]
  }
}</t>
  </si>
  <si>
    <t>batch_number</t>
  </si>
  <si>
    <t>TC_Ship_Put_invalid_error_correction_date_format</t>
  </si>
  <si>
    <t>/batches/api/v1/batch-details</t>
  </si>
  <si>
    <t>PUT</t>
  </si>
  <si>
    <t>{
  "assign_to": [
    "vijayakumara.k@takeda.com"
  ],
  "swimlane_end_date": null,
  "swimlane": "Finishing Admin",
  "batch_number": "A4A095",
  "swimlane_start_date": null,
  "projected_swimlane_end_date": "null",
  "reason_for_delay": [],
  "swimlane_target_date": "string",
  "site": "VIENNA",
  "po_number": "null",
  "cmo_number": "null",
  "board_type": "ship",
  "date_of_manufacturing": "24-03-2023",
  "error_correction_date": "24-03-2023 14:00"
}</t>
  </si>
  <si>
    <t>{
  "detail": "Error: Invalid input parameter. Please provide correct input"
}</t>
  </si>
  <si>
    <t>TC_Ship_Put_with_missing_batch_number</t>
  </si>
  <si>
    <t>{
  "assign_to": [
    "vijayakumara.k@takeda.com"
  ],
  "swimlane_end_date": null,
  "swimlane": "Finishing Admin",
  "batch_number": "null",
  "swimlane_start_date": null,
  "projected_swimlane_end_date": "null",
  "reason_for_delay": [],
  "swimlane_target_date": "string",
  "site": "VIENNA",
  "po_number": "null",
  "cmo_number": "null",
  "board_type": "ship",
  "date_of_manufacturing": "24-03-2023",
  "error_correction_date": "24-03-2023 14:00"
}</t>
  </si>
  <si>
    <t>{
  "detail": "Invalid input parameter. Please provide correct input"
}</t>
  </si>
  <si>
    <t>TC_Ship_Get_non_existent_batch_id</t>
  </si>
  <si>
    <t>/batches/api/v1/batch-details/INVALID123</t>
  </si>
  <si>
    <t>{
  "detail": "No records were found"
}</t>
  </si>
  <si>
    <t>TC_Ship_Unauthorized access</t>
  </si>
  <si>
    <t>{
  "message": "Unauthorized"
}</t>
  </si>
  <si>
    <t>TC_Ship_Put_Update_Assign_to_Batch_details</t>
  </si>
  <si>
    <t>{
  "assign_to": [
    "vijayakumara.k@takeda.com"
  ],
  "swimlane": "Finishing Admin",
  "batch_number": "F2C006AH"
}</t>
  </si>
  <si>
    <t>{
  "status": "Data updated successfully"
}</t>
  </si>
  <si>
    <t>TC_Ship_Validate_Assign_to_in_Batch_details</t>
  </si>
  <si>
    <t>/batches/api/v1/batch-details/F2C006AH</t>
  </si>
  <si>
    <t>{
  "status": "Success",
  "data": {
    "batch_details": [
      {
        "batch_number": "F2C006AH",
        "creation_date": null,
        "modified_date": null,
        "brand_name": "Feiba",
        "manufacture_stage": "FDP",
        "batch_progress": "Completed",
        "status": "Completed",
        "potency": "1,000.00IU",
        "assign_to": ["vijayakumara.k@takeda.com"],
        "swimlane_target_date": "2025-07-22T00:00:00Z",
        "reason_for_delay": [],
        "atp_date": "2025-12-05T00:00:00Z",
        "swimlane": "Finishing Admin",
        "swimlane_start_date": null,
        "swimlane_end_date": null,
        "projected_swimlane_end_date": null,
        "opu": "PLASMA",
        "site": "VIENNA",
        "error_correction_date": null
      }
    ],
    "sku_details": [
      {
        "sku_description": "FEIBA,1000U,10ML",
        "sku_number": "6511450",
        "sku_country": "IRELAND",
        "stocking_type": "M",
        "brand_code": "025",
        "manufacture_stage_code": "FIN",
        "brand_description": "FNF",
        "order_prep_days": null,
        "bom_effective_date": null,
        "potency_desc": "1,000.00IU",
        "planner_number": "210000"
      }
    ],
    "wo_details": [
      {
        "work_order_number": "6063666",
        "work_order_status": "98",
        "work_order_reference_description": "INVP/STKG/Reg.Muster/PH",
        "work_order_lot_information": "F2C006 STKG Reg. sam",
        "work_order_date": "2025-06-13",
        "work_order_request_date": "2025-07-18",
        "ordered_quantity": 2,
        "shipped_quantity": 2,
        "work_order_type": "WO",
        "related_type": "SB",
        "expiry_date": "2026-12-31",
        "shelf_life": "720",
        "suitable_for_country": null,
        "jde_batch_status": "",
        "uom_name": "EA"
      }
    ],
    "so_details": [
      {
        "ship_to_location_id": "127644",
        "ship_to_location_name": "Philippines",
        "plant_name": "VN1",
        "sales_order_number": "50097",
        "line_number": 224,
        "quantity_shipped": 2,
        "ship_out_date_initially_planned": "2026-01-30",
        "ship_out_date": "2026-01-30T00:00:00",
        "line_type": "S",
        "storage_location": "HRL01",
        "ship_to_country": "SR Reg, samples"
      }
    ],
    "event_details": []
  }
}</t>
  </si>
  <si>
    <t>TC_Ship_Put_Remove_Assign_to_Batch_details</t>
  </si>
  <si>
    <t>{
  "assign_to": [],
  "swimlane": "Finishing Admin",
  "batch_number": "F2C006AH"
}</t>
  </si>
  <si>
    <t>TC_Ship_Verify_Smart_search_filters</t>
  </si>
  <si>
    <t>/core/graphql/graphql</t>
  </si>
  <si>
    <t>query MyQuery {
  fetchPaginatedDimensions(
    paginationFilters: { limit: 1000, page: 1 }
    dimensionIds: [1, 2, 3, 7]
  ) {
    limit
    page
    totalRecords
    dimensions {
      dimensionId
      name
      description
      values(
        limitPerDimension: 1000
        version: 1
        valueIds: [
          "03347122-f8e2-445f-96c4-40577cbd43a4",
          "66faa6e5-40f1-441d-94b4-50a10e22de91",
          "19f11724-c488-466f-8673-5cd9428ec062"
        ]
      ) {
        valueId
        name
        aliases {
          aliasName
          __typename
        }
        __typename
      }
      __typename
    }
    __typename
  }
}</t>
  </si>
  <si>
    <t>{
  "data": {
    "fetchPaginatedDimensions": {
      "limit": 1000,
      "page": 1,
      "totalRecords": 4,
      "dimensions": [
        {
          "dimensionId": 1,
          "name": "OpU",
          "description": "opu",
          "values": [
            {
              "valueId": "03347122-f8e2-445f-96c4-40577cbd43a4",
              "name": "PLASMA",
              "aliases": [
                {
                  "aliasName": "PLASMA",
                  "__typename": "ValueAlias"
                },
                {
                  "aliasName": "PLASMA OPU",
                  "__typename": "ValueAlias"
                }
              ],
              "__typename": "DimensionValue"
            }
          ],
          "__typename": "Dimension"
        },
        {
          "dimensionId": 2,
          "name": "Brand",
          "description": "brand",
          "values": [],
          "__typename": "Dimension"
        },
        {
          "dimensionId": 3,
          "name": "Site",
          "description": "site",
          "values": [
            {
              "valueId": "66faa6e5-40f1-441d-94b4-50a10e22de91",
              "name": "VIENNA",
              "aliases": [
                {
                  "aliasName": "VIENNA",
                  "__typename": "ValueAlias"
                }
              ],
              "__typename": "DimensionValue"
            }
          ],
          "__typename": "Dimension"
        },
        {
          "dimensionId": 7,
          "name": "Stage",
          "description": "stage",
          "values": [
            {
              "valueId": "19f11724-c488-466f-8673-5cd9428ec062",
              "name": "Finished Drug Product",
              "aliases": [
                {
                  "aliasName": "FDP",
                  "__typename": "ValueAlias"
                },
                {
                  "aliasName": "Finished Drug Product",
                  "__typename": "ValueAlias"
                }
              ],
              "__typename": "DimensionValue"
            }
          ],
          "__typename": "Dimension"
        }
      ],
      "__typename": "PaginatedDimensions"
    }
  }
}</t>
  </si>
  <si>
    <t>TC_Ship_Verify_Legend_details</t>
  </si>
  <si>
    <t>/batches/api/v2/legends?opu=PLASMA&amp;site=VIENNA&amp;board_type=Make&amp;type_description=</t>
  </si>
  <si>
    <t>{
    "status": "Success",
    "data": {
        "events": [
            {
                "name": "At Risk",
                "mouse_hover_info": null
            },
            {
                "name": "Exception Process",
                "mouse_hover_info": null
            },
            {
                "name": "Open Deviation",
                "mouse_hover_info": null
            },
            {
                "name": "Open Lab Investigation",
                "mouse_hover_info": null
            },
            {
                "name": "Repacking",
                "mouse_hover_info": null
            },
            {
                "name": "First of Code",
                "mouse_hover_info": "Indicates if a SKU is processed the very first time after its creation"
            },
            {
                "name": "Risk Assessment",
                "mouse_hover_info": "Enables shipment to avoid market risk even though there is an ongoing deviation"
            },
            {
                "name": "Life Saver",
                "mouse_hover_info": "To be processed in minimum Lead Time"
            },
            {
                "name": "High Priority",
                "mouse_hover_info": null
            },
            {
                "name": "Escalated",
                "mouse_hover_info": null
            },
            {
                "name": "Expedited",
                "mouse_hover_info": null
            },
            {
                "name": "GDP",
                "mouse_hover_info": "GDP correction loop ongoing"
            },
            {
                "name": "Non Deviation Hold",
                "mouse_hover_info": "Hold of batch, but not due to status H nor due to deviation"
            },
            {
                "name": "Tender",
                "mouse_hover_info": "Indicates that in case the ship-out date is missed by the site, it has to pay penalty fees due to tender contract"
            },
            {
                "name": "Quarantine",
                "mouse_hover_info": null
            },
            {
                "name": "NSSR",
                "mouse_hover_info": null
            },
            {
                "name": "Late",
                "mouse_hover_info": null
            },
            {
                "name": "Defect",
                "mouse_hover_info": null
            },
            {
                "name": "SDN",
                "mouse_hover_info": "Supply disruption notification indicates that a country is out of stock with the respective FDP"
            },
            {
                "name": "Pre-Alert",
                "mouse_hover_info": "Indicates that a country is below safety stock level with the respective FDP"
            },
            {
                "name": "Adhoc",
                "mouse_hover_info": "Time between WO creation and ATP Date &lt; tbd."
            },
            {
                "name": "Exclude from Metric",
                "mouse_hover_info": "Exclude from Metric Computation"
            }
        ],
        "status": [
            {
                "type": "atrisk",
                "name": "At Risk"
            },
            {
                "type": "ontrack",
                "name": "On Track"
            },
            {
                "type": "overdue",
                "name": "Overdue"
            }
        ]
    }
}</t>
  </si>
  <si>
    <t>TC_Ship_Verify_search_results_of_Batch</t>
  </si>
  <si>
    <t>/batches/api/v3/batch-list?board_type=ship&amp;opu=PLASMA&amp;site=VIENNA&amp;process=FINISHED%20DRUG%20PRODUCT&amp;search=15/216AT&amp;all_combination=false</t>
  </si>
  <si>
    <t>{
  "status": "Success",
  "data": {
    "batches_data": [
      {
        "name": "Finishing Admin",
        "id": 1,
        "info": "Owner: Admin Specialists of Finishing Operations VIE; Scope: all FDP batches that are physically packed and wait for finalization by Admin Specialists before they can be handed over to QA Finishing for review",
        "cardList": [
          {
            "batch_number": "15/216AT",
            "batch_progress": "Completed",
            "creation_date": null,
            "modified_date": null,
            "brand_name": "Obizur",
            "manufacture_stage": "FDP",
            "status": "Completed",
            "events": [
              null
            ],
            "sku_number": "1505746",
            "potency": "500.00IU",
            "jde_batch_status": "",
            "work_order_reference_description": "INVP/SAFETY STOCK WORLD",
            "sku_description": "OBIZUR,500U,SINGLE,SUBST",
            "assign_to": null,
            "atp_date": "2025-11-06T00:00:00+00:00",
            "swimlane_target_date": "2024-06-11T00:00:00+00:00",
            "ship_out_date": "2025-10-31T00:00:00",
            "open_tw_events": 0,
            "impacted_tw_events": 0,
            "wo_number": "5786543",
            "sales_order_number": "50475",
            "sales_order_line_number": 94,
            "pr_number": null,
            "po_number": null,
            "cmo_number": null,
            "comments_count": null,
            "attachments_count": null,
            "ship_to_location_name": null,
            "assignee_full_name": null
          }
        ]
      },
      {
        "name": "QA Review",
        "id": 2,
        "info": "Owner: QA Finishing VIE; Scope: all FDP batches that are finalized by Admins Specialists and wait for Batch Record Review before they can be handed over to the Head of Department for approval",
        "cardList": []
      },
      {
        "name": "MFG Approval",
        "id": 3,
        "info": "Owner: Head of Department of Finishing Operations VIE; Scope: all FDP batches that have been reviewed by QA Finishing and wait for approval before they can be handed over to QA Finishing for final approval",
        "cardList": []
      },
      {
        "name": "QA Approval",
        "id": 4,
        "info": "Owner: QA Finishing VIE; Scope: all FDP batches that have been approved by Head of Department and wait for final approval before they can be handed over to FIN-Disposition",
        "cardList": []
      },
      {
        "name": "Ready for Disposition",
        "id": 55,
        "info": "Scope: all FDP batches that are ready for disposition",
        "cardList": []
      }
    ],
    "pagination": {
      "page": 1,
      "limit": 100,
      "total_records": 1
    }
  }
}</t>
  </si>
  <si>
    <t>TC_Ship_Get_Brand_details</t>
  </si>
  <si>
    <t>/core/api/v1/filter/brands?name=ALBUMIN%20NG&amp;limit=1</t>
  </si>
  <si>
    <t>{
  "status": "Success",
  "data": {
    "page": 1,
    "limit": 1,
    "total_records": 206,
    "brands": [
      {
        "id": 87,
        "name": "ALBUMIN NG",
        "type": null,
        "group": null,
        "family": null,
        "trade": null,
        "potency": null,
        "ta": null,
        "status": null,
        "prog_phase": null,
        "strategic_growth_flg": null,
        "brand_img_url_desc": "/brand/Human Albumin/Human Albumin.svg"
      }
    ]
  },
  "error": null
}</t>
  </si>
  <si>
    <t>TC_Ship_Put_Delete_Event_Attached_Pre</t>
  </si>
  <si>
    <t>/batches/api/v1/events/user-attached</t>
  </si>
  <si>
    <t>{
  "event_id": 45,
  "batch_number": "A4B174AA",
  "swimlane": "Finishing Admin",
  "user_rationale": "QA_Test",
  "opu": "Plasma",
  "site": "Vienna",
  "flag_type": "1"
}</t>
  </si>
  <si>
    <t>{
  "status": "Success",
  "data": {
    "message": "Event Risk Assessment was successfully removed."
  }
}</t>
  </si>
  <si>
    <t>TC_Ship_Post_Attach_Event</t>
  </si>
  <si>
    <t>{
  "event_name": "Risk Assessment",
  "user_rationale": "acgac",
  "opu": "Plasma",
  "site": "Vienna",
  "batch_number": "A4B174AA",
  "board_type": "Ship"
}</t>
  </si>
  <si>
    <t>{
  "status": 201,
  "message": "Events added successfully",
  "number_of_rows_updated": 1
}</t>
  </si>
  <si>
    <t>TC_Ship_Get_Attached_Event</t>
  </si>
  <si>
    <t>/batches/api/v1/events/user-attached/A4B174AA</t>
  </si>
  <si>
    <t>{
  "status": 200,
  "message": "success",
  "data": {
    "event_type": "USER_ATTACHED",
    "event_details": [
      {
        "event_id": 45,
        "event_name": "Risk Assessment",
        "user_rationale": "acgac",
        "flag_type": "0"
      }
    ]
  }
}</t>
  </si>
  <si>
    <t>TC_Ship_Get_Events_with_derived_type</t>
  </si>
  <si>
    <t>/batches/api/v2/A4B174AA/events/?event_type=derived</t>
  </si>
  <si>
    <t>{
  "status": "Success",
  "data": [
    {
      "event_type": "Derived Event",
      "event_details": []
    }
  ]
}</t>
  </si>
  <si>
    <t>TC1_Get_Status</t>
  </si>
  <si>
    <t>/aos/api/v1/status/</t>
  </si>
  <si>
    <t>TC2_Create_Board</t>
  </si>
  <si>
    <t>/aos/api/v2/boards/</t>
  </si>
  <si>
    <t>{
  "board_owner_name": "Test",
  "template_name": "Tier 4 Performance",
  "tier_name": "TIER 1",
  "operating_unit_description": "BIOLOGICS",
  "site_description": "BROOKLYN PARK",
  "board_name": "Test",
  "board_type": "AOS",
  "template_ids": [
    1
  ],
  "parent_tier2_board_id": 232,
  "operating_unit_id": 1,
  "site_id": 7,
  "tier_id": 1,
  "site_val_id": "54cc6d4c-5000-41a3-917e-30e523c53289",
  "opu_val_id": "acfb91c7-d08f-48dd-a0ed-98b56113b986",
  "func_val_id": null,
  "func_team_val_id": null,
  "tier_val_id": "e7d87d04-f7ef-46a2-a596-992f02a38c95"
}</t>
  </si>
  <si>
    <t>{"status":"Success","error":null,"data":{"board_id":"{board_id}","template_id":[1]}}</t>
  </si>
  <si>
    <t>board_id</t>
  </si>
  <si>
    <t>TC3_Create_AOS_Tier_Board_Log_Details</t>
  </si>
  <si>
    <t>/aos/api/v1/boards/logs/process_flow_action/</t>
  </si>
  <si>
    <t>{
  "board_id":"{board_id}",
  "data": [
    {
      "status": "",
      "topic_desc": "1234",
      "addtl_notes_desc": "active",
      "owner_name": "Prasad Ravindra Antarkar [C]",
      "due_date": "2026-02-26",
      "closed_date": null,
      "escalated_from": null,
      "escalated_to": null,
      "date_initiated": "2026-02-25",
      "initial_due_date": "2026-02-26",
      "log_owner_email_id": "prasad-ravindra.antarkar@takeda.com"
    }
  ]
}</t>
  </si>
  <si>
    <t>{
    "status": "Success",
    "error": null,
    "data": [
        {
            "topic_desc": "1234",
            "log_id":"{log_id}" ,
            "response_message": "success"
        }
    ]
}</t>
  </si>
  <si>
    <t>log_id</t>
  </si>
  <si>
    <t>TC4_Get_AOS_Tier_Board_Log_Details</t>
  </si>
  <si>
    <t>/aos/api/v1/boards/{board_id}/logs/process_flow_action/</t>
  </si>
  <si>
    <t>{
    "status": "Success",
    "error": null,
    "data": [
        {
            "status": "",
            "topic_desc": "1234",
            "addtl_notes_desc": "active",
            "escalated_from": null,
            "escalated_to": null,
            "owner_name": "Prasad Ravindra Antarkar [C]",
            "date_initiated": "2026-02-25",
            "due_date": "2026-02-26",
 "log_id":"{log_id}" ,
            "closed_date": null,           "audit_user_id":"LogScreen",
            "log_owner_email_id": "prasad-ravindra.antarkar@takeda.com",
            "initial_due_date": "2026-02-26"
        }
    ]
}</t>
  </si>
  <si>
    <t>TC5_Update_AOS_Tier_Board_Action_Log</t>
  </si>
  <si>
    <t>{
  "board_id": "{board_id}",
  "data": [
    {
      "status": "Open",
      "topic_desc": "1234",
      "addtl_notes_desc": "active",
      "owner_name": "Prasad Ravindra Antarkar [C]",
      "due_date": "2026-02-25",
      "closed_date": null,
      "is_deleted": false,
      "log_id": "{log_id}",
      "escalated_from": null,
      "escalated_to": null,
      "initial_due_date": "2026-02-26",
      "log_owner_email_id": "prasad-ravindra.antarkar@takeda.com"
    }
  ]
}</t>
  </si>
  <si>
    <t>{
    "status": "Success",
    "error": null,
    "data": [
        {
            "topic_desc": "1234",
            "log_id":"{log_id}",
            "response_message": "updated"
        }
    ]
}</t>
  </si>
  <si>
    <t>TC6_Get_Create_Board</t>
  </si>
  <si>
    <t>/aos/api/v2/boards/{board_id}/</t>
  </si>
  <si>
    <t>{
 "status": "Success",
 "error": null,
 "data": [
  {
   "board_id": "{board_id}",
   "template_id": [1],
   "board_name": "Test",
   "board_owner_name": "Test",
   "tier_name": "TIER 1",
   "operating_unit_description": "BIOLOGICS"
  }
 ]
}</t>
  </si>
  <si>
    <t>TC7_Update_Create_Board</t>
  </si>
  <si>
    <t>{
    "board_id": "{board_id}",
    "board_name": "Biologics- Singapore",
    "board_owner_name": "Vaccine Test",
    "opu_id": 1,
    "opu_description": "BIOLOGICS",
    "site_id": 35,
    "site_description": "SINGAPORE",
    "tier_id": 2,
    "tier_description": "TIER 2",
    "template_ids": [1,2],
    "parent_tier2_board_id": 327,
    "board_own_by_group_name": ["Lexington - 200 Shire Way", "USA - MA, Massachusetts Biologics Operations"],
    "meeting_frequency_description": "WEEKLY",
    "meeting_time": "2024-07-12 06:45:10.403",
    "is_deleted": false
}</t>
  </si>
  <si>
    <t>{
  "status": "Success",
  "error": null,
  "data": {
    "board_id": "{board_id}",
    "message": "Board updated successfully"
  }
}</t>
  </si>
  <si>
    <t>TC8_Fetch_Create_Board</t>
  </si>
  <si>
    <t>{
  "status": "Success",
  "data": [
    {
      "board_id": "{board_id}",
      "template_id": [1, 5],
      "board_owner_name": "test",
      "board_type": "AOS",
      "is_active": true
    }
  ]
}</t>
  </si>
  <si>
    <t>TC9_Fetch_Board_Rules</t>
  </si>
  <si>
    <t>/aos/boards/{board_id}/boardRules/</t>
  </si>
  <si>
    <t>{
  "data": [
    {
      "board_seq_num": 1,
      "board_rules_desc": "All board members must be present and on time unless an excused absence. When absent, a delegate is present who is responsible for providing updates"
    },
    {
      "board_seq_num": 2,
      "board_rules_desc": "Total engagement of all team members is expected. No side conversations, texting, looking at phones, etc. For Virtual meetings, cameras on (min. facilitator of the meeting and individual presenters)"
    },
    {
      "board_seq_num": 3,
      "board_rules_desc": "All data on board is updated prior to the meeting start."
    },
    {
      "board_seq_num": 4,
      "board_rules_desc": "All metrics have actuals and targets. "
    },
    {
      "board_seq_num": 5,
      "board_rules_desc": "All red metrics are connected to the Pareto and action is taken once a clear leading cause is indicated."
    },
    {
      "board_seq_num": 6,
      "board_rules_desc": "All KPI results are trended and discussed at a minimum of monthly / weekly depending on KPI.  Actions are taken for special cause variation."
    },
    {
      "board_seq_num": 7,
      "board_rules_desc": "Each action item has an individual owner and a due date listed. If the original due date is not met, status \"Red\" is indicated."
    },
    {
      "board_seq_num": 8,
      "board_rules_desc": "Action items can only be assigned to meeting attendees."
    },
    {
      "board_seq_num": 9,
      "board_rules_desc": "Meetings will have a facilitator and a scribe identified ahead of meeting."
    }
  ]
}</t>
  </si>
  <si>
    <t>TC10_Update_Board_Rules</t>
  </si>
  <si>
    <t>/aos/boards/boardRules/</t>
  </si>
  <si>
    <t>[
  {
    "board_id": "{board_id}",
    "board_rules": [
      {
        "board_seq_num": 1,
        "board_rules_desc": "All board members must be present and on time unless an excused absence. When absent, a delegate is present who is responsible for providing updates",
        "old_board_seq_num": 1,
        "is_deleted": false
      },
      {
        "board_seq_num": 2,
        "board_rules_desc": "test",
        "old_board_seq_num": 2,
        "is_deleted": false
      },
      {
        "board_seq_num": 3,
        "board_rules_desc": "test",
        "old_board_seq_num": 0,
        "is_deleted": false
      },
      {
        "board_seq_num": 4,
        "board_rules_desc": "Total engagement of all team members is expected. No side conversations, texting, looking at phones, etc. For Virtual meetings, cameras on (min. facilitator of the meeting and individual presenters)",
        "old_board_seq_num": 3,
        "is_deleted": false
      },
      {
        "board_seq_num": 5,
        "board_rules_desc": "All data on board is updated prior to the meeting start.",
        "old_board_seq_num": 4,
        "is_deleted": false
      },
      {
        "board_seq_num": 6,
        "board_rules_desc": "All metrics have actuals and targets.",
        "old_board_seq_num": 5,
        "is_deleted": false
      },
      {
        "board_seq_num": 7,
        "board_rules_desc": "All red metrics are connected to the Pareto and action is taken once a clear leading cause is indicated.",
        "old_board_seq_num": 6,
        "is_deleted": false
      },
      {
        "board_seq_num": 8,
        "board_rules_desc": "All KPI results are trended and discussed at a minimum of monthly / weekly depending on KPI. Actions are taken for special cause variation.",
        "old_board_seq_num": 7,
        "is_deleted": false
      },
      {
        "board_seq_num": 9,
        "board_rules_desc": "Each action item has an individual owner and a due date listed. If the original due date is not met, status \"Red\" is indicated.",
        "old_board_seq_num": 8,
        "is_deleted": false
      },
      {
        "board_seq_num": 10,
        "board_rules_desc": "Action items can only be assigned to meeting attendees.",
        "old_board_seq_num": 9,
        "is_deleted": false
      },
      {
        "board_seq_num": 11,
        "board_rules_desc": "Meetings will have a facilitator and a scribe identified ahead of meeting.",
        "old_board_seq_num": 10,
        "is_deleted": false
      }
    ]
  }
]</t>
  </si>
  <si>
    <t>{
    "status": 200,
    "message": "OK",
    "data": [
        {
            "board_id": "{board_id}",
            "message": "Update Successful"
        }
    ]
}</t>
  </si>
  <si>
    <t>TC11_Get_Meeting_Agenda_Details</t>
  </si>
  <si>
    <t>/aos/boards/{board_id}/meetingAgenda/</t>
  </si>
  <si>
    <t>{
    "status": 200,
    "message": "OK",
    "data": [
        {
            "board_id": "{board_id}",
            "agenda": [
                {
                    "agenda_seq_num": 1,
                    "agenda_topic_desc": "Attendance - Roll Call",
                    "alloc_time_num": 0,
                    "lead_name": "Sample Text",
                    "addtl_notes_desc": "Sample Text"
                },
                {
                    "agenda_seq_num": 2,
                    "agenda_topic_desc": "Escalations",
                    "alloc_time_num": 0,
                    "lead_name": "Sample Text",
                    "addtl_notes_desc": "Sample Text"
                },
                {
                    "agenda_seq_num": 3,
                    "agenda_topic_desc": "Performance Review (Focus on Reds)",
                    "alloc_time_num": 0,
                    "lead_name": "Sample Text",
                    "addtl_notes_desc": "Sample Text"
                },
                {
                    "agenda_seq_num": 4,
                    "agenda_topic_desc": "Reognition",
                    "alloc_time_num": 0,
                    "lead_name": "Sample Text",
                    "addtl_notes_desc": "Sample Text"
                },
                {
                    "agenda_seq_num": 5,
                    "agenda_topic_desc": "CI Loop",
                    "alloc_time_num": 0,
                    "lead_name": "Sample Text",
                    "addtl_notes_desc": "Sample Text"
                },
                {
                    "agenda_seq_num": 6,
                    "agenda_topic_desc": "Meeting Process Confirmation",
                    "alloc_time_num": 0,
                    "lead_name": "Sample Text",
                    "addtl_notes_desc": "Sample Text"
                },
                {
                    "agenda_seq_num": 7,
                    "agenda_topic_desc": "Leader Process Confirmation",
                    "alloc_time_num": 0,
                    "lead_name": "Sample Text",
                    "addtl_notes_desc": "Sample Text"
                }
            ]
        }
    ]
}</t>
  </si>
  <si>
    <t>TC12_Update_Meeting_Agenda_Details</t>
  </si>
  <si>
    <t>/aos/boards/meetingAgenda/</t>
  </si>
  <si>
    <t>[
  {
    "board_id": {board_id},
    "agenda": [
      {
        "agenda_seq_num": 1,
        "old_agenda_seq_num": 1,
        "agenda_topic_desc": "Attendance - Roll Call",
        "alloc_time_num": 0,
        "lead_name": "Sample Text",
        "addtl_notes_desc": "Sample Text",
        "is_deleted": false
      },
      {
        "agenda_seq_num": 2,
        "old_agenda_seq_num": 2,
        "agenda_topic_desc": "Escalations",
        "alloc_time_num": 0,
        "lead_name": "Sample Text",
        "addtl_notes_desc": "Sample Text",
        "is_deleted": false
      },
      {
        "agenda_seq_num": 3,
        "old_agenda_seq_num": 3,
        "agenda_topic_desc": "Performance Review (Focus on Reds)",
        "alloc_time_num": 0,
        "lead_name": "Sample Text",
        "addtl_notes_desc": "Sample Text",
        "is_deleted": false
      },
      {
        "agenda_seq_num": 4,
        "old_agenda_seq_num": 4,
        "agenda_topic_desc": "Reognition",
        "alloc_time_num": 0,
        "lead_name": "Sample Text",
        "addtl_notes_desc": "Sample Text",
        "is_deleted": false
      },
      {
        "agenda_seq_num": 5,
        "old_agenda_seq_num": 5,
        "agenda_topic_desc": "CI Loop",
        "alloc_time_num": 0,
        "lead_name": "Sample Text",
        "addtl_notes_desc": "Sample Text",
        "is_deleted": false
      },
      {
        "agenda_seq_num": 6,
        "old_agenda_seq_num": 6,
        "agenda_topic_desc": "Meeting Process Confirmation",
        "alloc_time_num": 0,
        "lead_name": "Sample Text",
        "addtl_notes_desc": "Sample Text",
        "is_deleted": false
      },
      {
        "agenda_seq_num": 7,
        "old_agenda_seq_num": 7,
        "agenda_topic_desc": "Leader Process Confirmation",
        "alloc_time_num": 0,
        "lead_name": "Sample Text",
        "addtl_notes_desc": "Sample Text",
        "is_deleted": false
      }
    ]
  }
]</t>
  </si>
  <si>
    <t>TC13_Get_Attendance_Log</t>
  </si>
  <si>
    <t>/aos/boards/{board_id}/attendanceLog/</t>
  </si>
  <si>
    <t>{
    "status": 200,
    "message": "OK",
    "data": [
        {
            "attendee_name": "Prasad Ravindra Antarkar [C]",
            "job_func_desc": "Sample",
            "attendee_link_id": 1,
            "attend_by_email_id": "prasad-ravindra.antarkar@takeda.com",
            "meeting_dates": [
                {
                    "meet_date": "03-17-2026",
                    "avail_stat_cd": "",
                    "attendance_id": 1388
                }
            ]
        }
    ]
}</t>
  </si>
  <si>
    <t xml:space="preserve">TC_DQH_Get_DPM_details </t>
  </si>
  <si>
    <t>dqh/graphql</t>
  </si>
  <si>
    <t>query MyQuery {
  fetchDataPipeline(dataPipelineJobsInput: {paginationInfo: {limit: 2, page: 2}}) {
    page
    limit
    totalCount
    data {
      url
    }
  }
}</t>
  </si>
  <si>
    <t>{
  "data": {
    "fetchDataPipeline": {
      "page": 2,
      "limit": 2,
      "totalCount": 49,
      "data": [
        {
          "url": "https://onetakeda-usdev-gmsgq.cloud.databricks.com/pipelines/9fa12738-c72a-490e-b2a1-c691f13372a7/updates/abffb8e1-9df9-40f1-a6f6-46313c91cc94?o=55286904982311"
        },
        {
          "url": "https://onetakeda-usdev-gmsgq.cloud.databricks.com/pipelines/26ce6053-9e4e-4f67-b26b-98844918663a/updates/fb0b8f0b-fc85-4c37-a26b-4f227aabd864?o=55286904982779"
        }
      ]
    }
  }
}</t>
  </si>
  <si>
    <t xml:space="preserve">TC_DQH_Get_DTM_details </t>
  </si>
  <si>
    <t>query MyQuery {
  fetchDataTableMonitor(
    dataTableMonitorsInput: {paginationInfo: {limit: 2, page: 2}}
  ) {
    page
    limit
    totalCount
  }
}</t>
  </si>
  <si>
    <t xml:space="preserve">{
  "data": {
    "fetchDataTableMonitor": {
      "page": 2,
      "limit": 2,
      "totalCount": 7133
    }
  }
} </t>
  </si>
  <si>
    <t>TC_fetchMaterialProductRegions_single_MaterialID</t>
  </si>
  <si>
    <t>/coa/graphql/graphql</t>
  </si>
  <si>
    <t>query MyQuery {
  fetchMaterialProductRegions(materialIds: ["6510186"]) {
    materialId
    productSpecificationCode
    productSpecificationRegions
  }
}</t>
  </si>
  <si>
    <t>{
  "data": {
    "fetchMaterialProductRegions": [
      {
        "materialId": "6510186",
        "productSpecificationCode": "MB_ELAPRASE_DP_V",
        "productSpecificationRegions": [
          "GLOBAL",
          "REGION3",
          "REGION4",
          "REGION1",
          "REGION5",
          "REGION2"
        ]
      }
    ]
  }
}</t>
  </si>
  <si>
    <t>TC_fetchMaterialProductRegions_multiple_MaterialIDs</t>
  </si>
  <si>
    <t>query MyQuery {
  fetchMaterialProductRegions(materialIds: ["6000576", "7000022-007", "7001727"]) {
    materialId
    productSpecificationCode
    productSpecificationRegions
  }
}</t>
  </si>
  <si>
    <t>{
  "data": {
    "fetchMaterialProductRegions": [
      {
        "materialId": "6000576",
        "productSpecificationCode": "MB_LANA_SHP643_DP_150_S",
        "productSpecificationRegions": [
          "GLOBAL_CL"
        ]
      },
      {
        "materialId": "7000022-007",
        "productSpecificationCode": "MB_REPLAGAL_AF_DP",
        "productSpecificationRegions": [
          "REGION4",
          "REGION2",
          "REGION3",
          "REGION1",
          "GLOBAL",
          "MB_SWFI_GATTEX_DP_V"
        ]
      },
      {
        "materialId": "7001727",
        "productSpecificationCode": "MB_LANA_TAK743_DP_300_S",
        "productSpecificationRegions": [
          "GLOBAL",
          "REGION8",
          "REGION10",
          "REGION7",
          "REGION4",
          "REGION9",
          "REGION5",
          "REGION6",
          "REGION1",
          "REGION2"
        ]
      }
    ]
  }
}</t>
  </si>
  <si>
    <t>TC_fetchMaterialProductRegions_null_MaterialID</t>
  </si>
  <si>
    <t>query MyQuery {
  fetchMaterialProductRegions(materialIds: []) {
    materialId
    productSpecificationCode
    productSpecificationRegions
  }
}</t>
  </si>
  <si>
    <t>{
  "data": {
    "fetchMaterialProductRegions": []
  }
}</t>
  </si>
  <si>
    <t>TC_fetchMaterialProductRegions_invalid_MaterialID</t>
  </si>
  <si>
    <t>query MyQuery {
  fetchMaterialProductRegions(materialIds: ["123"]) {
    materialId
    productSpecificationRegions
    productSpecificationCode
  }
}</t>
  </si>
  <si>
    <t>{
  "data": {
    "fetchMaterialProductRegions": [
      {
        "materialId": "123",
        "productSpecificationRegions": null,
        "productSpecificationCode": null
      }
    ]
  }
}</t>
  </si>
  <si>
    <t>TC_fetchMaterialProductRegions_mismatch_MaterialID</t>
  </si>
  <si>
    <t>query MyQuery {
  fetchMaterialProductRegions(materialIds: [""]) {
    materialId
    productSpecificationRegions
    productSpecificationCode
  }
}</t>
  </si>
  <si>
    <t>{
  "data": {
    "fetchMaterialProductRegions": [
      {
        "materialId": "",
        "productSpecificationRegions": null,
        "productSpecificationCode": null
      }
    ]
  }
}</t>
  </si>
  <si>
    <t>TC_assign_single_Assignee</t>
  </si>
  <si>
    <t>/batches/api/v1/external-batch-details</t>
  </si>
  <si>
    <t>{
    "po_number": "4501742936",
    "assign_to": ["vijayakumara.k@takeda.com"],
    "batch_number": "",
    "cmo_number": "",
    "date_of_manufacturing": ""
}</t>
  </si>
  <si>
    <t>{
    "status": "Data updated successfully"
}</t>
  </si>
  <si>
    <t>TC_validate_single_assignee_details</t>
  </si>
  <si>
    <t>/batches/api/v1/external-batch-details/?batch_id=null&amp;po_id=4501742936&amp;cmo_id=null</t>
  </si>
  <si>
    <t>{
  "status": "Success",
  "data": {
    "batch_details": [
      {
        "batch_id": null,
        "cmo_number": null,
        "po_number": "4501742936",
        "batch_stat_id": "12",
        "batch_progress_id": "8",
        "board_type_desc": "TEST",
        "prod_brand_desc": "VEDOLIZUMAB",
        "site_desc": "EXTERNAL BIO",
        "opu_desc": "BIOLOGICS",
        "mfg_stg_cd": "DS",
        "swimlane_id": "41",
        "swimlane_strt_dts": null,
        "swimlane_end_dts": null,
        "swimlane_tgt_dts": null,
        "po_mfg_dts": null,
        "batch_expire_dt": null,
        "swimlane_delay_rsn_desc": null,
        "assign_to_user_id": [
          "vijayakumara.k@takeda.com"
        ],
        "external_batch_id": null,
        "usage_decision_date": null
      }
    ],
    "po_details": [
      {
        "batch_id": null,
        "po_number": "4501742936",
        "po_item_num": "000010",
        "po_doc_crt_dt": "2023-09-22",
        "mat_id": "6502654",
        "mfg_site_desc": "AbbVie Bioresearch Center Inc.",
        "potency_desc": "1"
      }
    ],
    "process_schedule_summary": {
      "test_locations": "AbbVie Bioresearch,Catalent Kansas City,Linz",
      "start_date_planned": null,
      "start_date_actual": null,
      "start_date_predicted": null,
      "end_date_planned": null,
      "end_date_actual": null,
      "end_date_predicted": null
    }
  }
}</t>
  </si>
  <si>
    <t>TC_assign_multiple_Assignees</t>
  </si>
  <si>
    <t>{
    "po_number": "4501742936",
    "assign_to": [
        "vijayakumara.k@takeda.com",
        "pallavi-ashok.yadav@takeda.com",
        "jyothsna.j-h@takeda.com"
    ],
    "batch_number": "",
    "cmo_number": "",
    "date_of_manufacturing": ""
}</t>
  </si>
  <si>
    <t>TC_validate_multiple_assignee_details</t>
  </si>
  <si>
    <t>{
  "status": "Success",
  "data": {
    "batch_details": [
      {
        "batch_id": null,
        "cmo_number": null,
        "po_number": "4501742936",
        "batch_stat_id": "12",
        "batch_progress_id": "8",
        "board_type_desc": "TEST",
        "prod_brand_desc": "VEDOLIZUMAB",
        "site_desc": "EXTERNAL BIO",
        "opu_desc": "BIOLOGICS",
        "mfg_stg_cd": "DS",
        "swimlane_id": "41",
        "swimlane_strt_dts": null,
        "swimlane_end_dts": null,
        "swimlane_tgt_dts": null,
        "po_mfg_dts": null,
        "batch_expire_dt": null,
        "swimlane_delay_rsn_desc": null,
        "assign_to_user_id": [
          "jyothsna.j-h@takeda.com",
          "pallavi-ashok.yadav@takeda.com",
          "vijayakumara.k@takeda.com"
        ],
        "external_batch_id": null,
        "usage_decision_date": null
      }
    ],
    "po_details": [
      {
        "batch_id": null,
        "po_number": "4501742936",
        "po_item_num": "000010",
        "po_doc_crt_dt": "2023-09-22",
        "mat_id": "6502654",
        "mfg_site_desc": "AbbVie Bioresearch Center Inc.",
        "potency_desc": "1"
      }
    ],
    "process_schedule_summary": {
      "test_locations": "AbbVie Bioresearch,Catalent Kansas City,Linz",
      "start_date_planned": null,
      "start_date_actual": null,
      "start_date_predicted": null,
      "end_date_planned": null,
      "end_date_actual": null,
      "end_date_predicted": null
    }
  }
}</t>
  </si>
  <si>
    <t>TC_Unassign_assignee</t>
  </si>
  <si>
    <t>{
    "po_number": "4501742936",
    "assign_to": [],
    "batch_number": "",
    "cmo_number": "",
    "date_of_manufacturing": ""
}</t>
  </si>
  <si>
    <t>TC_FetchCOAStatus</t>
  </si>
  <si>
    <t>query MyQuery {
  fetchCoaStatus {
    id
    status
  }
}</t>
  </si>
  <si>
    <t>{
  "data": {
    "fetchCoaStatus": [
      {
        "id": 1,
        "status": "Uploaded"
      },
      {
        "id": 2,
        "status": "Pending_general_Info"
      },
      {
        "id": 3,
        "status": "Pending_test_info"
      },
      {
        "id": 4,
        "status": "Pending_e-verification"
      },
      {
        "id": 5,
        "status": "Pending_email_verification"
      },
      {
        "id": 6,
        "status": "Verified"
      }
    ]
  }
}</t>
  </si>
  <si>
    <t>TC_fetchProductSpecification_with_multple_params</t>
  </si>
  <si>
    <t>query MyQuery {
  fetchProductSpecification(
    prodSpecInput: {productSpecificationCode: "MB_LANA_SHP643_DS", analysisCode: "MB_RENTSCHLER_HCP2"}
  ) {
    analysisCode
    componentName
    maxValue
    minValue
    productSpecificationCode
    regionDescription
    ruleDescription
    textValue
  }
}</t>
  </si>
  <si>
    <t>{
  "data": {
    "fetchProductSpecification": [
      {
        "analysisCode": "MB_RENTSCHLER_HCP2",
        "componentName": "Host Cell Protein",
        "maxValue": 10.0,
        "minValue": 0.0,
        "productSpecificationCode": "MB_LANA_SHP643_DS",
        "regionDescription": "GLOBAL",
        "ruleDescription": "Result &lt;= MAX",
        "textValue": null
      },
      {
        "analysisCode": "MB_RENTSCHLER_HCP2",
        "componentName": "Host Cell Protein",
        "maxValue": 10.0,
        "minValue": 0.0,
        "productSpecificationCode": "MB_LANA_SHP643_DS",
        "regionDescription": "REGION3",
        "ruleDescription": "Result &lt;= MAX",
        "textValue": null
      },
      {
        "analysisCode": "MB_RENTSCHLER_HCP2",
        "componentName": "Host Cell Protein",
        "maxValue": 10.0,
        "minValue": 0.0,
        "productSpecificationCode": "MB_LANA_SHP643_DS",
        "regionDescription": "REGION4",
        "ruleDescription": "Result &lt;= MAX",
        "textValue": null
      },
      {
        "analysisCode": "MB_RENTSCHLER_HCP2",
        "componentName": "Host Cell Protein",
        "maxValue": 10.0,
        "minValue": 0.0,
        "productSpecificationCode": "MB_LANA_SHP643_DS",
        "regionDescription": "REGION7",
        "ruleDescription": "Result &lt;= MAX",
        "textValue": null
      },
      {
        "analysisCode": "MB_RENTSCHLER_HCP2",
        "componentName": "Host Cell Protein",
        "maxValue": 10.0,
        "minValue": 0.0,
        "productSpecificationCode": "MB_LANA_SHP643_DS",
        "regionDescription": "REGION8",
        "ruleDescription": "Result &lt;= MAX",
        "textValue": null
      }
    ]
  }
}</t>
  </si>
  <si>
    <t>TC_fetchProductSpecification_with_null_value</t>
  </si>
  <si>
    <t>query MyQuery {
  fetchProductSpecification(
    prodSpecInput: {productSpecificationCode: "null"}
  ) {
    analysisCode
    componentName
    maxValue
    minValue
    productSpecificationCode
    regionDescription
    ruleDescription
    textValue
  }
}</t>
  </si>
  <si>
    <t>{
  "data": {
    "fetchProductSpecification": []
  }
}</t>
  </si>
  <si>
    <t>TC_fetchProductSpecification_with_invalid_value</t>
  </si>
  <si>
    <t>query MyQuery {
  fetchProductSpecification(
    prodSpecInput: {productSpecificationCode: hcvascjv}
  ) {
    analysisCode
    componentName
    maxValue
    minValue
    productSpecificationCode
    regionDescription
    ruleDescription
    textValue
  }
}</t>
  </si>
  <si>
    <t>{
  "data": null,
  "errors": [
    {
      "message": "String cannot represent a non string value: hcvascjv",
      "locations": [
        {
          "line": 3,
          "column": 47
        }
      ]
    }
  ]
}</t>
  </si>
  <si>
    <t>TC_fetchProductSpecification_with_mismatch_value</t>
  </si>
  <si>
    <t>query MyQuery {
  fetchProductSpecification(
    prodSpecInput: {productSpecificationCode: "MB_RENTSCHLER_HCP2"}
  ) {
    productSpecificationCode
    analysisCode
    componentName
    minValue
    maxValue
    textValue
    ruleDescription
    regionDescription
  }
}</t>
  </si>
  <si>
    <t>TC_fetchProductSpecification_with_multiple_values_to_param</t>
  </si>
  <si>
    <t>query MyQuery {
  fetchProductSpecification(
    prodSpecInput: {productSpecificationCode: "MB_LANA_SHP643_DS","dacas"}
  ) {
    productSpecificationCode
    analysisCode
    componentName
    minValue
    maxValue
    textValue
    ruleDescription
    regionDescription
  }
}</t>
  </si>
  <si>
    <t>{
  "data": null,
  "errors": [
    {
      "message": "Syntax Error: Expected Name, found String 'dacas'.",
      "locations": [
        {
          "line": 3,
          "column": 67
        }
      ]
    }
  ]
}</t>
  </si>
  <si>
    <t>TC_coMutation_with_single_valid_parameters</t>
  </si>
  <si>
    <t>mutation MyMutation {
  coaMutation(
    inputDetails: {
      entityName: USER_ACTION
      inputDetails: {
        userAction: {
          batchId: "{batchId}"
          verifyByEmpId: 100
          verifyStatusId: 200
          verifyActionDate: "{timestamp}"
          siteStdName: "{siteStdName}"
        }
      }
    }
  ) {
    message
    success
  }
}</t>
  </si>
  <si>
    <t>{
  "data": {
    "coaMutation": {
      "message": "Details created successfully",
      "success": "Created"
    }
  }
}</t>
  </si>
  <si>
    <t>TC_coMutation_with_multiple_valid_parameters</t>
  </si>
  <si>
    <t>mutation MyMutation {
  coaMutation(
    inputDetails: {entityName: USER_ACTION, inputDetails: {
      userAction:[{
        batchId: "{batchId}",
        siteStdName: "{siteStdName}",
        verifyByEmpId: 112,
        verifyStatusId: 112,
        verifyActionDate: "{timestamp}"},
      {batchId: "{batchId}",
        siteStdName: "{siteStdName}",
        verifyByEmpId: 131,
        verifyStatusId: 131,
        verifyActionDate: "{timestamp}"},
    ]}}
  ) {
    message
    success
  }
}</t>
  </si>
  <si>
    <t>TC_Update_coMutation_with_single_valid_parameters</t>
  </si>
  <si>
    <t>{
  "data": {
    "coaMutation": {
      "message": "Details updated successfully",
      "success": "Updated"
    }
  }
}</t>
  </si>
  <si>
    <t>TC_Update_coMutation_with_multiple_valid_parameters</t>
  </si>
  <si>
    <t>TC_coMutation_by_omiting_parameters</t>
  </si>
  <si>
    <t>mutation MyMutation {
  coaMutation(
    inputDetails: {
      entityName: USER_ACTION
      inputDetails: {
        userAction: {
          batchId: "test1"
          verifyByEmpId: 
          verifyStatusId: 
          verifyActionDate: "2025-12-17 17:20:51.628 +0530"
          siteStdName: "test1"
        }
      }
    }
  ) {
    message
    success
  }
}</t>
  </si>
  <si>
    <t>{
  "data": null,
  "errors": [
    {
      "message": "Syntax Error: Expected Name, found ':'.",
      "locations": [
        {
          "line": 9,
          "column": 25
        }
      ]
    }
  ]
}</t>
  </si>
  <si>
    <t>TC_coMutation_with_null_parameters</t>
  </si>
  <si>
    <t>mutation MyMutation {
  coaMutation(
    inputDetails: {
      entityName: USER_ACTION
      inputDetails: {
        userAction: {
          batchId: ""
          verifyByEmpId: null
          verifyStatusId: null
          verifyActionDate: "2025-12-17 17:20:51.628 +0530"
          siteStdName: ""
        }
      }
    }
  ) {
    message
    success
  }
}</t>
  </si>
  <si>
    <t>{
  "data": null,
  "errors": [
    {
      "message": "Expected value of type 'Int!', found null.",
      "locations": [
        {
          "line": 8,
          "column": 26
        }
      ]
    },
    {
      "message": "Expected value of type 'Int!', found null.",
      "locations": [
        {
          "line": 9,
          "column": 27
        }
      ]
    }
  ]
}</t>
  </si>
  <si>
    <t>TC_fetchTestResultStat_with_single_value_to_each_param</t>
  </si>
  <si>
    <t>query MyQuery {
  fetchTestResultStat(
    testResultStatInput: 
    [
      {batchId: "TRXB01", testName: "sterility test filled vials", testResultDesc: "conforms", testSpecDesc: "no growth", prodReleaseDtz: ""},
    ]
  ) {
    testResultSpecification {
      analysisCode
      batchId
      componentName
      specResult
      stdSiteName
    }
  }
}</t>
  </si>
  <si>
    <t>{
  "data": {
    "fetchTestResultStat": [
      {
        "testResultSpecification": {
          "analysisCode": "MB_ACTIVITY_IC_D",
          "batchId": "TRXB01",
          "componentName": "Rate of Sulfate Release",
          "specResult": "no growth",
          "stdSiteName": "Vetter"
        }
      }
    ]
  }
}</t>
  </si>
  <si>
    <t>TC_fetchTestResultStat_with_null_values</t>
  </si>
  <si>
    <t>query MyQuery {
  fetchTestResultStat(
    testResultStatInput: 
    [
      {batchId: "null", testName: "null", testResultDesc: "null", testSpecDesc: "null", prodReleaseDtz: ""},
    ]
  ) {
    testResultSpecification {
      analysisCode
      batchId
      componentName
      specResult
      stdSiteName
    }
  }
}</t>
  </si>
  <si>
    <t>{
  "data": {
    "fetchTestResultStat": []
  }
}</t>
  </si>
  <si>
    <t>TC_fetchTestResultStat_with_invalid_values</t>
  </si>
  <si>
    <t>query MyQuery {
  fetchTestResultStat(
    testResultStatInput: 
    [
      {batchId: "abcd", testName: "as cams c", testResultDesc: "conforms", testSpecDesc: "no growth", prodReleaseDtz: ""},
    ]
  ) {
    testResultSpecification {
      analysisCode
      batchId
      componentName
      specResult
      stdSiteName
    }
  }
}</t>
  </si>
  <si>
    <t>TC_fetchTestResultStat_with_mismatch_values</t>
  </si>
  <si>
    <t>query MyQuery {
  fetchTestResultStat(
    testResultStatInput: 
    [
      {batchId: "TRXB01", testName: "TRXB01", testResultDesc: "TRXB01", testSpecDesc: "no growth", prodReleaseDtz: ""},
    ]
  ) {
    testResultSpecification {
      analysisCode
      batchId
      componentName
      specResult
      stdSiteName
    }
  }
}</t>
  </si>
  <si>
    <t>TC_fetchMaterialProductSpecifications_with_single_MaterialID</t>
  </si>
  <si>
    <t>query MyQuery {
  fetchMaterialProductSpecifications(materialIds: ["7001438"]) {
    materialId
    productSpecificationCode
  }
}</t>
  </si>
  <si>
    <t>{
  "data": {
    "fetchMaterialProductSpecifications": [
      {
        "materialId": "7001438",
        "productSpecificationCode": "MB_GATTEX_DS_B"
      }
    ]
  }
}</t>
  </si>
  <si>
    <t>TC_fetchMaterialProductSpecifications_with_multiple_MaterialIDs</t>
  </si>
  <si>
    <t>query MyQuery {
  fetchMaterialProductSpecifications(materialIds: ["7001438","7001449","6502653"]) {
    productSpecificationCode
    materialId
  }
}</t>
  </si>
  <si>
    <t>{
  "data": {
    "fetchMaterialProductSpecifications": [
      {
        "productSpecificationCode": "MB_GATTEX_DS_B",
        "materialId": "7001438"
      },
      {
        "productSpecificationCode": "MB_REVESTIVE_DS_B",
        "materialId": "7001449"
      },
      {
        "productSpecificationCode": null,
        "materialId": "6502653"
      }
    ]
  }
}</t>
  </si>
  <si>
    <t>TC_fetchMaterialProductSpecifications_with_null_MaterialID</t>
  </si>
  <si>
    <t>query MyQuery {
  fetchMaterialProductSpecifications(materialIds: ["null"]) {
    productSpecificationCode
    materialId
  }
}</t>
  </si>
  <si>
    <t>{
  "data": {
    "fetchMaterialProductSpecifications": []
  }
}</t>
  </si>
  <si>
    <t>TC_fetchMaterialProductSpecifications_with_invalid_MaterialID</t>
  </si>
  <si>
    <t>query MyQuery {
  fetchMaterialProductSpecifications(materialIds: ["1234"]) {
    productSpecificationCode
    materialId
  }
}</t>
  </si>
  <si>
    <t>TC_fetchMaterialProductSpecifications_with_mismatch_MaterialID</t>
  </si>
  <si>
    <t>query MyQuery {
  fetchMaterialProductSpecifications(materialIds: ["MB_GATTEX_DS_B"]) {
    productSpecificationCode
    materialId
  }
}</t>
  </si>
  <si>
    <t>TC_Batches_Pagination_limit_100</t>
  </si>
  <si>
    <t>/batches/api/v1/external-batch-list?opu=BIOLOGICS&amp;site=EXTERNAL%20BIO&amp;process=Drug%20Product|Drug%20Substance&amp;boardType=Test&amp;page=1&amp;limit=120</t>
  </si>
  <si>
    <t>{
  "status": "Success",
  "data": {
    "pagination": {
      "page": 1,
      "limit": 100,
      "total_records": "{total_records}"
    }
  }
}</t>
  </si>
  <si>
    <t>total_records</t>
  </si>
  <si>
    <t>TC_Batches_Pagination_limit_120</t>
  </si>
  <si>
    <t>TC_Batches_Pagination_limit_0</t>
  </si>
  <si>
    <t>/batches/api/v1/external-batch-list?opu=BIOLOGICS&amp;site=EXTERNAL%20BIO&amp;process=Drug%20Product|Drug%20Substance&amp;boardType=Test&amp;page=1&amp;limit=0</t>
  </si>
  <si>
    <t>{
    "detail": "Error: Record not found"
}</t>
  </si>
  <si>
    <t>TC_Batches_Pagination_limit_invalid_combination</t>
  </si>
  <si>
    <t>/batches/api/v1/external-batch-list?site=EXTERNAL%20BIO&amp;process=Drug%20Product|Drug%20Substance&amp;boardType=Test&amp;page=1&amp;limit=10</t>
  </si>
  <si>
    <t>TC_Batches_Pagination_limit_invalid_request</t>
  </si>
  <si>
    <t>https://api-insights-dev2.takeda.io/batches/api/v1/external-batch-list?board_type=test&amp;opu=Plasma|Biologics&amp;site=Vienna|Madrid&amp;process=Drug Substance|Finished Drug Product|Master Cell Stock&amp;brand=Albumin NG|Alofisel&amp;page=1&amp;limit=100&amp;events=Tender|CPA&amp;status=Completed|On Track&amp;potency=Blank - Sales Rpt Code 541/S5</t>
  </si>
  <si>
    <t>{
    "detail": "Invalid input parameter. Please provide correct input"
}</t>
  </si>
  <si>
    <t>TC_Board_type_equal_to_random_value</t>
  </si>
  <si>
    <t>/batches/api/v1/filters?board_type=avhkad</t>
  </si>
  <si>
    <t>{
    "detail": "Error: Board name is not correct"
}</t>
  </si>
  <si>
    <t>TC_Board_type_equal_to_string_value</t>
  </si>
  <si>
    <t>/batches/api/v1/filters?board_type="Test"</t>
  </si>
  <si>
    <t>TC_Board_type_equal_to_Test_value</t>
  </si>
  <si>
    <t>/batches/api/v1/filters?board_type=Test</t>
  </si>
  <si>
    <t>{
    "status": "Success",
    "data": {
        "events": [
            "At Risk",
            "Biz Decision Delay",
            "Escalated",
            "Expedited",
            "Lab Assessment",
            "Low Priority",
            "Open Change Control",
            "Open Deviation",
            "Open Lab Investigation",
            "Rejected"
        ],
        "status": [
            "Batch Overdue",
            "Incoming Due Date",
            "On Track"
        ],
        "brands": [],
        "potency": [
            "1",
            "25",
            "75",
            "6",
            "108",
            "1,25",
            "10",
            "",
            "50",
            "400",
            "150",
            "300"
        ],
        "ship_to_locations": [],
        "jde_batch_status": []
    }
}</t>
  </si>
  <si>
    <t>TC_fetchTestByLab_single_batchid_without_other_params</t>
  </si>
  <si>
    <t>query MyQuery {
  fetchTestByLab(
    batchinput: [{batchId: "B189-041060", stdSiteName: "Lonza Hayward"}]
  ) {
    batchId
    stdSiteName
    batch {
      batchId
      mfgDate
      productName
    }
    testresult {
      testName
      testMethod
      testDate
      testedFor
      testResultDesc
      testResultState
      verificationDate
      verifiedBy
      lab {
        labsiteName
      }
    }
  }
}</t>
  </si>
  <si>
    <t>{
  "data": {
    "fetchTestByLab": [
      {
        "batchId": "B189-041060",
        "stdSiteName": "Lonza Hayward",
        "batch": [
          {
            "batchId": "B189-041060",
            "mfgDate": "2021-08-11",
            "productName": "rFurin"
          }
        ],
        "testresult": [
          {
            "testName": "Appearance",
            "testMethod": "USHA-427",
            "testDate": "{testDate}",
            "testedFor": null,
            "testResultDesc": "Clear, colorless solution,\nabsence of particles",
            "testResultState": null,
            "verificationDate": "{verificationDate}",
            "verifiedBy": "Katharina Riedler",
            "lab": {
              "labsiteName": "Lonza"
            }
          }
        ]
      }
    ]
  }
}</t>
  </si>
  <si>
    <t>testDate,verificationDate</t>
  </si>
  <si>
    <t>TC_fetchTestByLab_single_batchid_with_other_params</t>
  </si>
  <si>
    <t xml:space="preserve">TC_fetchTestByLab_multiple_batchid_and_stdSiteName </t>
  </si>
  <si>
    <t>query MyQuery {
  fetchTestByLab(
    batchinput: [{batchId: "B189-041060", stdSiteName: "Lonza Hayward"},
{ batchId: "A2100006", stdSiteName: "JHS" }
      { batchId: "520830", stdSiteName: "AbbVie Bioresearch" }
]
  ) {
    batchId
    stdSiteName
    batch {
      batchId
      mfgDate
      productName
    }
    testresult {
      testName
      testMethod
      testDate
      testedFor
      testResultDesc
      testResultState
      verificationDate
      verifiedBy
      lab {
        labsiteName
      }
    }
  }
}</t>
  </si>
  <si>
    <t>{
  "data": {
    "fetchTestByLab": [
      {
        "batchId": "B189-041060",
        "stdSiteName": "Lonza Hayward",
        "batch": [
          {
            "batchId": "B189-041060",
            "mfgDate": "2021-08-11",
            "productName": "rFurin"
          }
        ],
        "testresult": [
          {
            "testName": "Appearance",
            "testMethod": "USHA-427",
            "testedFor": null,
            "testResultDesc": "Clear, colorless solution,\nabsence of particles",
            "testResultState": null,
            "verificationDate": "{verificationDate}",
            "verifiedBy": "Katharina Riedler",
            "lab": {
              "labsiteName": "Lonza"
            }
          }
        ]
      },
      {
        "batchId": "A2100006",
        "stdSiteName": "JHS",
        "batch": [
          {
            "batchId": "A2100006",
            "mfgDate": "2021-02-11",
            "productName": "KALBITOR 10MG∕ML DYX"
          }
        ],
        "testresult": [
          {
            "testName": "Particulate Matter &gt;= 10\nμm",
            "testMethod": "SOP 402.60",
            "testedFor": null,
            "testResultDesc": "39 Particles",
            "testResultState": null,
            "verificationDate": "{verificationDate}",
            "verifiedBy": "Katharina Riedler",
            "lab": {
              "labsiteName": "Jubilant HollisterStier LLC"
            }
          }
        ]
      },
      {
        "batchId": "520830",
        "stdSiteName": "AbbVie Bioresearch",
        "batch": [
          {
            "batchId": "520830",
            "mfgDate": "2021-12-29",
            "productName": "Vedolizumab Bulk Drug Substance"
          }
        ],
        "testresult": [
          {
            "testName": "A280",
            "testMethod": "QCA-416",
            "testedFor": "Takeda Pharmaceuticals International. Inc.",
            "testResultDesc": "96.4 mg/mL",
            "testResultState": null,
            "verificationDate": "{verificationDate}",
            "verifiedBy": "Katharina Riedler",
            "lab": {
              "labsiteName": "AbbVie Bioresearch Center"
            }
          }
        ]
      }
    ]
  }
}</t>
  </si>
  <si>
    <t xml:space="preserve">TC_fetchTestByLab_invalid_batchid_and_stdSiteName </t>
  </si>
  <si>
    <t>query MyQuery {
  fetchTestByLab(
    batchinput: [{batchId: "cjasvcha", stdSiteName: "cjCKVS"}
]
  ) {
    batchId
    stdSiteName
    batch {
      batchId
      mfgDate
      productName
    }
    testresult {
      testName
      testMethod
      testDate
      testedFor
      testResultDesc
      testResultState
      verificationDate
      verifiedBy
      lab {
        labsiteName
      }
    }
  }
}</t>
  </si>
  <si>
    <t>{
  "data": {
    "fetchTestByLab": [
      {
        "batchId": "cjasvcha",
        "stdSiteName": "cjCKVS",
        "batch": null,
        "testresult": []
      }
    ]
  }
}</t>
  </si>
  <si>
    <t xml:space="preserve">TC_fetchTestByLab_missing_batchid_or_stdSiteName </t>
  </si>
  <si>
    <t>query MyQuery {
  fetchTestByLab(
    batchinput: [{batchId: " ", stdSiteName: "Lonza Hayward"}
]
  ) {
    batchId
    stdSiteName
    batch {
      batchId
      mfgDate
      productName
    }
    testresult {
      testName
      testMethod
      testDate
      testedFor
      testResultDesc
      testResultState
      verificationDate
      verifiedBy
      lab {
        labsiteName
      }
    }
  }
}</t>
  </si>
  <si>
    <t>{
  "data": null,
  "errors": [
    {
      "message": "Error: Field not found in the request",
      "locations": [
        {
          "line": 2,
          "column": 3
        }
      ],
      "path": [
        "fetchTestByLab"
      ]
    }
  ]
}</t>
  </si>
  <si>
    <t>TC1_Disposition_Verify_batch_details_retrieval</t>
  </si>
  <si>
    <t>/batches/api/v1/disposition-batch-details/A1A068AC/VN1/FIN</t>
  </si>
  <si>
    <t>{
  "status": "Success"
  }</t>
  </si>
  <si>
    <t>TC2_Disposition_Verify_user_assigned_to_batch</t>
  </si>
  <si>
    <t>/batches/api/v1/disposition-batch-details</t>
  </si>
  <si>
    <t>{
  "site_id": "VN1",
  "batch_id": "ALA0003",
  "disposition_group": "BLK",
  "assigned_users": [
    "archana.r@takeda.com"
  ]
}</t>
  </si>
  <si>
    <t>{
  "status": "Success",
  "data": {
    "message": "Disposition batch details updated successfully"
  }
}</t>
  </si>
  <si>
    <t>TC3_Disposition_Verify_user_removed_from_batch</t>
  </si>
  <si>
    <t>/batches/api/v1/disposition-batch-assigned-users/ALA0003</t>
  </si>
  <si>
    <t>{
  "site_id": "VN1",
  "disposition_group": "BLK",
  "assigned_users": [
    "archana.r@takeda.com"
  ]
}</t>
  </si>
  <si>
    <t>{
  "status": "Success",
  "data": {
    "message": "Users from Disposition batch details removed successfully"
  }
}</t>
  </si>
  <si>
    <t>TC4_Disposition_Verify_disposition_filters</t>
  </si>
  <si>
    <t>/batches/api/v1/process/disposition/filters</t>
  </si>
  <si>
    <t>{"page":1,"limit":10,"filters":["batch_id","material_id","batch_short_code"]}</t>
  </si>
  <si>
    <t>TC5_Disposition_Verify_disposition_batch_automated_checks</t>
  </si>
  <si>
    <t>/batches/api/v1/checklist-item-state/A1A068AC?item_type=automated</t>
  </si>
  <si>
    <t>TC1_techTransfer_verify_fetch_process_quality_details</t>
  </si>
  <si>
    <t>{"data":{"fetch_process_quality_details":{"clinical_code":"TAK-279","data_source":"Sphera Stature","load_time_stamp":"2026-03-23T20:03:41.762+00:00","manufacturing_stage":"Drug Substance","opu":["SMALL MOLECULES &amp; ONCOLOGY"],"process_id":"1000093014","process_name":"TAK-279 QbD RM_DRAFT_10-10-2025_1","site":["Cambrex Charles City"],"project_id":null,"receiving_unit":null,"sending_unit":null,"user_name":null,"sub_process":[{"stage":"Step 3","batch_volume":[{"maximum_volume":"1353 gallons / 5122 L","minimum_volume":"198 gallons/ 750 L","stage_name":"Step 3"}],"equipments":[{"equipment_code":"T-4562","equipment_id":1027902455,"equipment_name":"7000 Gallon Tank","equipment_type":"Tank"}],"solubility":[{"material_name":"TR06854013","solubility_description":"Soluble at RT","solvent_name":"DMF"}],"stability":[{"solution_name":"THF","details":[{"peak_id":"HMPL-013-I","stability_attributes":[{"parameter_name":"4 h reflux","parameter_value":"ND","uom_description":"%Area"}]}]}]}]}}}</t>
  </si>
  <si>
    <t>TC2_techTransfer_verify_fetch_sub_process_details</t>
  </si>
  <si>
    <t>query MyQuery {
  fetch_sub_process_details(
    param_values: {stage: "Stage 1", clinical_code: "TAK-279", site_name: "Cambrex Charles City", manufacturing_stage: "Drug Substance"}
  ) {
    input_output_yield_percentage
    operation_unit
    stage
    solubility {
      material_name
    }
    stability {
      solution_name
      details {
        peak_id
        stability_attributes {
          parameter_name
        }
      }
    }
    batch_volume {
      maximum_volume
      stage_name
    }
    equipments {
      equipment_code
      material_of_construction
    }
  }
}</t>
  </si>
  <si>
    <t>{"data":{"fetch_sub_process_details":[{"stage":"Step 3","solubility":[{"material_name":"TR06854013"}],"stability":[{"solution_name":"THF","details":[{"peak_id":"HMPL-013-I","stability_attributes":[{"parameter_name":"4 h reflux"}]}]}],"batch_volume":[{"maximum_volume":"1353 gallons / 5122 L","stage_name":"Step 3"}],"equipments":[{"equipment_code":"T-4562","material_of_construction":null}]},{"stage":"Step 1","solubility":[{"material_name":"TR06803253"}],"stability":[{"solution_name":"Acetone","details":[{"peak_id":"RRT ~ 1.24","stability_attributes":[{"parameter_name":"RT"}]}]}],"batch_volume":[{"maximum_volume":"997 gallons / 3774 L","stage_name":"Step 1"}],"equipments":[{"equipment_code":"R-3146","material_of_construction":null}]}]}}</t>
  </si>
  <si>
    <t>TC3_techTransfer_verify_fetch_tech_transfer_details</t>
  </si>
  <si>
    <t>query MyQuery {
  fetch_tech_transfer_details {
    clinical_code
    data_source
    load_time_stamp
    manufacturing_stage
    opu
    process_id
    process_name
    project_id
    receiving_unit
    sending_unit
    site
    user_name
    sub_process {
      input_output_yield_percentage
      operation_unit
      stage
      solubility {
        material_name
        solubility_description
        solubility_value
        solvent_name
      }
      batch_volume {
        maximum_volume
        minimum_volume
        process_volume_range
        stage_name
      }
      equipments {
        equipment_code
        equipment_id
        equipment_name
        equipment_type
        material_of_construction
      }
      stability {
        details {
          peak_id
          stability_attributes {
            comment_description
            parameter_name
            parameter_value
            uom_description
          }
        }
        solution_name
      }
    }
    workspace_id
    workspace_name
  }
}</t>
  </si>
  <si>
    <t>{"data":{"fetch_tech_transfer_details":[{"clinical_code":"TAK-279","manufacturing_stage":"Drug Substance","opu":["SMALL MOLECULES AND ONCOLOGY"],"project_id":1056750,"receiving_unit":"Grange Castle","sending_unit":"Cambrex Charles City","sub_process":[{"stage":"Step 3","batch_volume":[{"maximum_volume":"1353 gallons / 5122 L","minimum_volume":"198 gallons/ 750 L","stage_name":"Step 3"}],"equipments":[{"equipment_code":"T-4562","equipment_id":1027902455,"equipment_name":"7000 Gallon Tank","equipment_type":"Tank","material_of_construction":null},{"equipment_code":"R-4554","equipment_id":1027900358,"equipment_name":"4000 Gallon Reactor","equipment_type":"Reactor","material_of_construction":null}]},{"stage":"Step 1","batch_volume":[{"maximum_volume":"997 gallons / 3774 L","stage_name":"Step 1"}],"equipments":[{"equipment_code":"R-3146","equipment_name":"2000 Gallon Reactor","equipment_type":"Reactor","material_of_construction":null}]}]}]}}</t>
  </si>
  <si>
    <t>TC4_techTransfer_verify_fetch_paginated_operation_unit_details</t>
  </si>
  <si>
    <t>query MyQuery {
  fetch_paginated_operation_unit_details(
param_value: {stage: "Step 4", site_name:"Cambrex Charles City", clinical_code: "TAK-279", pagination: {limit: 2, page: 1}}) 
  {
    limit
    page
    total_count
    operation_unit_details {
      critical_process_details
      in_process_control_details {
        acceptance_criteria
        attribute_description
        attribute_name
        method_description
        sample_material_name
      }
      operation_unit_name
      process_hazard {
        comment_description
        details {
          evaluation_parameter_name
          evaluation_result_value
        }
        evaluation_method_name
        material_hazard_type_description
        material_name
        peak_id
        process_operation_sequence_number
        process_stage_sequence_number
      }
      sequence_number
    }
  }
}</t>
  </si>
  <si>
    <t>{
  "data": {
    "fetch_paginated_operation_unit_details": {
      "limit": 2,
      "page": 1,
      "total_count": 2,
      "operation_unit_details": [
        {
          "in_process_control_details": [
            {
              "attribute_description": null,
              "sample_material_name": null,
              "method_description": null,
              "acceptance_criteria": "NMT 2%"
            }
          ],
          "process_hazard": [
            {
              "comment_description": null
            }
          ],
          "sequence_number": "4.1",
          "critical_process_details": [
            {
              "par_range_value": "1.0 ± 10%",
              "nor_upper_limit": 1.049999952316,
              "nor_lower_limit": 0.949999988079,
              "target_set_point": 1,
              "impact_name": "4.12.1.3. Step 4 TAK-279 yield",
              "impact_type_description": "PPI",
              "impact_score": "4.000000000000",
              "critical_description": "Non-CPP"
            },
            {
              "par_range_value": "As fast as possible (uncontrolled)",
              "nor_upper_limit": null,
              "nor_lower_limit": null,
              "target_set_point": null,
              "impact_name": "4.1.10.1. IPC1 Step 4 Reaction end point IPC(NMT 0.3% of SM / (SM + TAK-279)) MD-131-21",
              "impact_type_description": "PPI",
              "impact_score": "4.000000000000",
              "critical_description": "Non-CPP"
            },
            {
              "par_range_value": "1.0 ± 10%",
              "nor_upper_limit": 1.049999952316,
              "nor_lower_limit": 0.949999988079,
              "target_set_point": 1,
              "impact_name": "4.8.3.1. IPC3 Crystal form",
              "impact_type_description": "PPI",
              "impact_score": "4.000000000000",
              "critical_description": "Non-CPP"
            },
            {
              "par_range_value": "4.0 ± 1.0 L/kg",
              "nor_upper_limit": 4.5,
              "nor_lower_limit": 3.5,
              "target_set_point": 4,
              "impact_name": "2.2. Identification",
              "impact_type_description": null,
              "impact_score": "4.000000000000",
              "critical_description": "Non-CPP"
            },
            {
              "par_range_value": "60 ± 6C",
              "nor_upper_limit": 63,
              "nor_lower_limit": 57,
              "target_set_point": 60,
              "impact_name": "2.4. Related Substances",
              "impact_type_description": null,
              "impact_score": "10.000000000000",
              "critical_description": "CPP"
            },
            {
              "par_range_value": "As fast as possible (uncontrolled)",
              "nor_upper_limit": null,
              "nor_lower_limit": null,
              "target_set_point": null,
              "impact_name": "2.4. Related Substances",
              "impact_type_description": null,
              "impact_score": "4.000000000000",
              "critical_description": "Non-CPP"
            },
            {
              "par_range_value": "As fast as possible (uncontrolled)",
              "nor_upper_limit": null,
              "nor_lower_limit": null,
              "target_set_point": null,
              "impact_name": "4.8.3.1. IPC3 Crystal form",
              "impact_type_description": "PPI",
              "impact_score": "4.000000000000",
              "critical_description": "Non-CPP"
            },
            {
              "par_range_value": "As fast as possible (uncontrolled)",
              "nor_upper_limit": null,
              "nor_lower_limit": null,
              "target_set_point": null,
              "impact_name": "2.11. XRPD-Solid Form",
              "impact_type_description": null,
              "impact_score": "4.000000000000",
              "critical_description": "Non-CPP"
            },
            {
              "par_range_value": "20 ± 10 C",
              "nor_upper_limit": 30,
              "nor_lower_limit": 15,
              "target_set_point": 20,
              "impact_name": "4.12.1.3. Step 4 TAK-279 yield",
              "impact_type_description": "PPI",
              "impact_score": "4.000000000000",
              "critical_description": "Non-CPP"
            },
            {
              "par_range_value": "PAR upper limit: 24 hrs. Keep at 45C until IPC result is obtained.",
              "nor_upper_limit": null,
              "nor_lower_limit": null,
              "target_set_point": null,
              "impact_name": "2.4. Related Substances",
              "impact_type_description": null,
              "impact_score": "4.000000000000",
              "critical_description": "Non-CPP"
            },
            {
              "par_range_value": "PAR upper limit: 24 hrs (once time hit 9 hrs, pull IPC, and decrease the temperature to 45C and sample IPC. DO NOT exceed 24 hrs at temperature PAR range)",
              "nor_upper_limit": 15,
              "nor_lower_limit": 9,
              "target_set_point": 9,
              "impact_name": "2.11. XRPD-Solid Form",
              "impact_type_description": null,
              "impact_score": "4.000000000000",
              "critical_description": "CPP"
            },
            {
              "par_range_value": "14.0 ± 1.0 L/kg",
              "nor_upper_limit": 14.5,
              "nor_lower_limit": 13.5,
              "target_set_point": 14,
              "impact_name": "2.11. XRPD-Solid Form",
              "impact_type_description": null,
              "impact_score": "4.000000000000",
              "critical_description": "Non-CPP"
            },
            {
              "par_range_value": "As fast as possible (Uncontrolled)",
              "nor_upper_limit": null,
              "nor_lower_limit": null,
              "target_set_point": null,
              "impact_name": "2.11. XRPD-Solid Form",
              "impact_type_description": null,
              "impact_score": "4.000000000000",
              "critical_description": "Non-CPP"
            },
            {
              "par_range_value": "Ambient (uncontrolled)",
              "nor_upper_limit": null,
              "nor_lower_limit": null,
              "target_set_point": null,
              "impact_name": "4.12.1.3. Step 4 TAK-279 yield",
              "impact_type_description": "PPI",
              "impact_score": "4.000000000000",
              "critical_description": "Non-CPP"
            },
            {
              "par_range_value": "As fast as possible (uncontrolled)",
              "nor_upper_limit": null,
              "nor_lower_limit": null,
              "target_set_point": null,
              "impact_name": "2.4. Related Substances",
              "impact_type_description": null,
              "impact_score": "4.000000000000",
              "critical_description": "Non-CPP"
            },
            {
              "par_range_value": "45 ± 10C",
              "nor_upper_limit": 50,
              "nor_lower_limit": 40,
              "target_set_point": 45,
              "impact_name": "4.12.1.3. Step 4 TAK-279 yield",
              "impact_type_description": "PPI",
              "impact_score": "4.000000000000",
              "critical_description": "Non-CPP"
            },
            {
              "par_range_value": "60 ± 6C",
              "nor_upper_limit": 63,
              "nor_lower_limit": 57,
              "target_set_point": 60,
              "impact_name": "2.1. Description",
              "impact_type_description": null,
              "impact_score": "4.000000000000",
              "critical_description": "CPP"
            },
            {
              "par_range_value": "45 ± 10C",
              "nor_upper_limit": 50,
              "nor_lower_limit": 40,
              "target_set_point": 45,
              "impact_name": "2.4. Related Substances",
              "impact_type_description": null,
              "impact_score": "4.000000000000",
              "critical_description": "Non-CPP"
            },
            {
              "par_range_value": "45 ± 10C",
              "nor_upper_limit": 50,
              "nor_lower_limit": 40,
              "target_set_point": 45,
              "impact_name": "2.11. XRPD-Solid Form",
              "impact_type_description": null,
              "impact_score": "4.000000000000",
              "critical_description": "Non-CPP"
            },
            {
              "par_range_value": "4.0 ± 1.0 L/kg",
              "nor_upper_limit": 4.5,
              "nor_lower_limit": 3.5,
              "target_set_point": 4,
              "impact_name": "2.3. Assay",
              "impact_type_description": null,
              "impact_score": "4.000000000000",
              "critical_description": "Non-CPP"
            },
            {
              "par_range_value": "1.0 ± 10%",
              "nor_upper_limit": 1.049999952316,
              "nor_lower_limit": 0.949999988079,
              "target_set_point": 1,
              "impact_name": "2.4. Related Substances",
              "impact_type_description": null,
              "impact_score": "4.000000000000",
              "critical_description": "Non-CPP"
            },
            {
              "par_range_value": "PAR upper limit: 24 hrs. Keep at 45C until IPC result is obtained.",
              "nor_upper_limit": null,
              "nor_lower_limit": null,
              "target_set_point": null,
              "impact_name": "4.12.1.3. Step 4 TAK-279 yield",
              "impact_type_description": "PPI",
              "impact_score": "4.000000000000",
              "critical_description": "Non-CPP"
            }
          ]
        },
        {
          "in_process_control_details": [
            {
              "attribute_description": null,
              "sample_material_name": null,
              "method_description": null,
              "acceptance_criteria": "NMT 2%"
            }
          ],
          "process_hazard": [],
          "sequence_number": "4.11",
          "critical_process_details": [
            {
              "par_range_value": "Uncontrolled",
              "nor_upper_limit": null,
              "nor_lower_limit": null,
              "target_set_point": null,
              "impact_name": "2.10. Particle size distribution",
              "impact_type_description": null,
              "impact_score": "4.000000000000",
              "critical_description": "Non-CPP"
            },
            {
              "par_range_value": "Uncontrolled",
              "nor_upper_limit": null,
              "nor_lower_limit": null,
              "target_set_point": null,
              "impact_name": "2.10. Particle size distribution",
              "impact_type_description": null,
              "impact_score": "4.000000000000",
              "critical_description": "Non-CPP"
            },
            {
              "par_range_value": "NLT 16 hrs",
              "nor_upper_limit": null,
              "nor_lower_limit": 16,
              "target_set_point": null,
              "impact_name": "2.14. Mutagenic Impurities\n",
              "impact_type_description": null,
              "impact_score": "4.000000000000",
              "critical_description": "Non-CPP"
            }
          ]
        }
      ]
    }
  }
}</t>
  </si>
  <si>
    <t>TC5_techTransfer_verify_fetch_paginated_equipment_details</t>
  </si>
  <si>
    <t>query MyQuery {
  fetch_paginated_equipment_details(
    param_value: {clinical_code: "TAK-279", site_name: "Cambrex Charles City", stages: "Step 3"}
  ) {
    equipment_details {
      equipment_code
      equipment_id
      equipment_name
      equipment_type
      material_of_construction
    }
    limit
    page
    total_count
  }
}</t>
  </si>
  <si>
    <t>{
  "data": {
    "fetch_paginated_equipment_details": {
      "equipment_details": [
        {
          "equipment_code": "T-4562",
          "equipment_id": 1027902455,
          "equipment_name": "7000 Gallon Tank",
          "equipment_type": "Tank",
          "material_of_construction": null
        },
        {
          "equipment_code": "F-4560",
          "equipment_id": 1027902572,
          "equipment_name": "6 m2 Agitated Filter Dryer",
          "equipment_type": "Filtration System",
          "material_of_construction": null
        },
        {
          "equipment_code": "T-5501",
          "equipment_id": 1027901927,
          "equipment_name": "500 Gallon Tank",
          "equipment_type": "Tank",
          "material_of_construction": null
        },
        {
          "equipment_code": "R-4554",
          "equipment_id": 1027900358,
          "equipment_name": "4000 Gallon Reactor",
          "equipment_type": "Reactor",
          "material_of_construction": null
        },
        {
          "equipment_code": "R-4432",
          "equipment_id": 1027905575,
          "equipment_name": "4000 Gallon Reactor",
          "equipment_type": "Reactor",
          "material_of_construction": null
        },
        {
          "equipment_code": "R-4554",
          "equipment_id": 1027902129,
          "equipment_name": "4000 Gallon Reactor",
          "equipment_type": "Reactor",
          "material_of_construction": null
        },
        {
          "equipment_code": "R-4554",
          "equipment_id": 1027902451,
          "equipment_name": "4000 Gallon Reactor",
          "equipment_type": "Reactor",
          "material_of_construction": null
        },
        {
          "equipment_code": "R-4554",
          "equipment_id": 1027904271,
          "equipment_name": "4000 Gallon Reactor",
          "equipment_type": "Reactor",
          "material_of_construction": null
        },
        {
          "equipment_code": "H-4555",
          "equipment_id": 1027901755,
          "equipment_name": "Heat Exchanger",
          "equipment_type": null,
          "material_of_construction": null
        },
        {
          "equipment_code": "R-4554",
          "equipment_id": 1027903643,
          "equipment_name": "4000 Gallon Reactor",
          "equipment_type": "Reactor",
          "material_of_construction": null
        },
        {
          "equipment_code": "R-4432",
          "equipment_id": 1027905936,
          "equipment_name": "4000 Gallon Reactor",
          "equipment_type": "Reactor",
          "material_of_construction": null
        },
        {
          "equipment_code": "R-4554",
          "equipment_id": 1027902570,
          "equipment_name": "4000 Gallon Reactor",
          "equipment_type": "Reactor",
          "material_of_construction": null
        },
        {
          "equipment_code": "T-3301",
          "equipment_id": 1027905938,
          "equipment_name": "500 Gallon Tank",
          "equipment_type": "Tank",
          "material_of_construction": null
        },
        {
          "equipment_code": "R-4432",
          "equipment_id": 1027906960,
          "equipment_name": "4000 Gallon Reactor",
          "equipment_type": "Reactor",
          "material_of_construction": null
        },
        {
          "equipment_code": "R-4554",
          "equipment_id": 1027902308,
          "equipment_name": "4000 Gallon Reactor",
          "equipment_type": "Reactor",
          "material_of_construction": null
        },
        {
          "equipment_code": "T-4562",
          "equipment_id": 1027907375,
          "equipment_name": "7000 Gallon Tank",
          "equipment_type": "Tank",
          "material_of_construction": null
        },
        {
          "equipment_code": "R-4554",
          "equipment_id": 1027902063,
          "equipment_name": "4000 Gallon Reactor",
          "equipment_type": "Reactor",
          "material_of_construction": null
        },
        {
          "equipment_code": "R-4554",
          "equipment_id": 1027905228,
          "equipment_name": "4000 Gallon Reactor",
          "equipment_type": "Reactor",
          "material_of_construction": null
        },
        {
          "equipment_code": "R-4554",
          "equipment_id": 1027900933,
          "equipment_name": "4000 Gallon Reactor",
          "equipment_type": "Reactor",
          "material_of_construction": null
        },
        {
          "equipment_code": "T-3301",
          "equipment_id": 1027905728,
          "equipment_name": "500 Gallon Tank",
          "equipment_type": "Tank",
          "material_of_construction": null
        },
        {
          "equipment_code": "R-4554",
          "equipment_id": 1027902108,
          "equipment_name": "4000 Gallon Reactor",
          "equipment_type": "Reactor",
          "material_of_construction": null
        },
        {
          "equipment_code": "R-4554",
          "equipment_id": 1027903751,
          "equipment_name": "4000 Gallon Reactor",
          "equipment_type": "Reactor",
          "material_of_construction": null
        },
        {
          "equipment_code": "R-4554",
          "equipment_id": 1027904133,
          "equipment_name": "4000 Gallon Reactor",
          "equipment_type": "Reactor",
          "material_of_construction": null
        },
        {
          "equipment_code": "R-4554",
          "equipment_id": 1027905570,
          "equipment_name": "4000 Gallon Reactor",
          "equipment_type": "Reactor",
          "material_of_construction": null
        },
        {
          "equipment_code": "R-4432",
          "equipment_id": 1027906069,
          "equipment_name": "4000 Gallon Reactor",
          "equipment_type": "Reactor",
          "material_of_construction": null
        },
        {
          "equipment_code": "R-4554",
          "equipment_id": 1027901387,
          "equipment_name": "4000 Gallon Reactor",
          "equipment_type": "Reactor",
          "material_of_construction": null
        },
        {
          "equipment_code": "R-4432",
          "equipment_id": 1027906909,
          "equipment_name": "4000 Gallon Reactor",
          "equipment_type": "Reactor",
          "material_of_construction": null
        },
        {
          "equipment_code": "R-4558",
          "equipment_id": 1027905372,
          "equipment_name": "2000 Gallon Reactor",
          "equipment_type": "Reactor",
          "material_of_construction": null
        },
        {
          "equipment_code": "R-4554",
          "equipment_id": 1027901669,
          "equipment_name": "4000 Gallon Reactor",
          "equipment_type": "Reactor",
          "material_of_construction": null
        },
        {
          "equipment_code": "R-4432",
          "equipment_id": 1027906373,
          "equipment_name": "4000 Gallon Reactor",
          "equipment_type": "Reactor",
          "material_of_construction": null
        },
        {
          "equipment_code": "R-4432",
          "equipment_id": 1027906503,
          "equipment_name": "4000 Gallon Reactor",
          "equipment_type": "Reactor",
          "material_of_construction": null
        },
        {
          "equipment_code": "R-4558",
          "equipment_id": 1027904446,
          "equipment_name": "2000 Gallon Reactor",
          "equipment_type": "Reactor",
          "material_of_construction": null
        },
        {
          "equipment_code": "R-4554",
          "equipment_id": 1027901488,
          "equipment_name": "4000 Gallon Reactor",
          "equipment_type": "Reactor",
          "material_of_construction": null
        },
        {
          "equipment_code": "R-4554",
          "equipment_id": 1027900696,
          "equipment_name": "4000 Gallon Reactor",
          "equipment_type": "Reactor",
          "material_of_construction": null
        },
        {
          "equipment_code": "R-4554",
          "equipment_id": 1027905171,
          "equipment_name": "4000 Gallon Reactor",
          "equipment_type": "Reactor",
          "material_of_construction": null
        },
        {
          "equipment_code": "R-4432",
          "equipment_id": 1027905465,
          "equipment_name": "4000 Gallon Reactor",
          "equipment_type": "Reactor",
          "material_of_construction": null
        },
        {
          "equipment_code": "R-4554",
          "equipment_id": 1027904974,
          "equipment_name": "4000 Gallon Reactor",
          "equipment_type": "Reactor",
          "material_of_construction": null
        },
        {
          "equipment_code": "R-4432",
          "equipment_id": 1027906393,
          "equipment_name": "4000 Gallon Reactor",
          "equipment_type": "Reactor",
          "material_of_construction": null
        },
        {
          "equipment_code": "R-4554",
          "equipment_id": 1027901929,
          "equipment_name": "4000 Gallon Reactor",
          "equipment_type": "Reactor",
          "material_of_construction": null
        },
        {
          "equipment_code": "R-4432",
          "equipment_id": 1027906713,
          "equipment_name": "4000 Gallon Reactor",
          "equipment_type": "Reactor",
          "material_of_construction": null
        },
        {
          "equipment_code": "R-4554",
          "equipment_id": 1027904483,
          "equipment_name": "4000 Gallon Reactor",
          "equipment_type": "Reactor",
          "material_of_construction": null
        },
        {
          "equipment_code": "R-4558",
          "equipment_id": 1027903818,
          "equipment_name": "2000 Gallon Reactor",
          "equipment_type": "Reactor",
          "material_of_construction": null
        },
        {
          "equipment_code": "R-4554",
          "equipment_id": 1027901097,
          "equipment_name": "4000 Gallon Reactor",
          "equipment_type": "Reactor",
          "material_of_construction": null
        },
        {
          "equipment_code": "F-4560",
          "equipment_id": 1027907111,
          "equipment_name": "6 m2 Agitated Filter Dryer",
          "equipment_type": "Filtration System",
          "material_of_construction": null
        },
        {
          "equipment_code": "R-4432",
          "equipment_id": 1027906809,
          "equipment_name": "4000 Gallon Reactor",
          "equipment_type": "Reactor",
          "material_of_construction": null
        },
        {
          "equipment_code": "R-4432",
          "equipment_id": 1027907011,
          "equipment_name": "4000 Gallon Reactor",
          "equipment_type": "Reactor",
          "material_of_construction": null
        },
        {
          "equipment_code": "R-4554",
          "equipment_id": 1027902662,
          "equipment_name": "4000 Gallon Reactor",
          "equipment_type": "Reactor",
          "material_of_construction": null
        },
        {
          "equipment_code": "R-4432",
          "equipment_id": 1027907109,
          "equipment_name": "4000 Gallon Reactor",
          "equipment_type": "Reactor",
          "material_of_construction": null
        },
        {
          "equipment_code": "R-4554",
          "equipment_id": 1027901759,
          "equipment_name": "4000 Gallon Reactor",
          "equipment_type": "Reactor",
          "material_of_construction": null
        },
        {
          "equipment_code": "R-4554",
          "equipment_id": 1027901555,
          "equipment_name": "4000 Gallon Reactor",
          "equipment_type": "Reactor",
          "material_of_construction": null
        }
      ],
      "limit": 50,
      "page": 1,
      "total_count": 50
    }
  }
}</t>
  </si>
  <si>
    <t>TC_05_11067_Verify_fetch_paginated_equipment_details_API</t>
  </si>
  <si>
    <t>query MyQuery {
  fetch_paginated_equipment_details(
    param_value: {clinical_code: "TAK-279", site_name: "Cambrex Charles City", stages: "Step 3", pagination: {limit: 2, page: 1}}
  ) {
    limit
    page
    total_count
    equipment_details {
      equipment_code
      equipment_id
      equipment_type
      material_of_construction
      equipment_name
    }
  }
}</t>
  </si>
  <si>
    <t>{
  "data": {
    "fetch_paginated_equipment_details": {
      "limit": 2,
      "page": 1,
      "total_count": 2,
      "equipment_details": [
        {
          "equipment_code": "T-4562",
          "equipment_id": 1027902455,
          "equipment_type": "Tank",
          "material_of_construction": null,
          "equipment_name": "7000 Gallon Tank"
        },
        {
          "equipment_code": "F-4560",
          "equipment_id": 1027902572,
          "equipment_type": "Filtration System",
          "material_of_construction": null,
          "equipment_name": "6 m2 Agitated Filter Dryer"
        }
      ]
    }
  }
}</t>
  </si>
  <si>
    <t>TC_06_11069_Verify_fetch_paginated_project_plan_details_API</t>
  </si>
  <si>
    <t>query MyQuery {
  fetch_paginated_project_plan_details(
    project_input: { meta_data_filter: {attribute_key: "key_milestones", attribute_value: "True"}, workspace_id: "8257582272931716"}
  ) {
    limit
    page
    project_plan_details {
      allocation_pct
      assigned_to
      workspace_name
      workspace_id
    }
    total_count
  }
}</t>
  </si>
  <si>
    <t>{
  "data": {
    "fetch_paginated_project_plan_details": {
      "limit": 50,
      "page": 1,
      "project_plan_details": [
        {
          "allocation_pct": "100%",
          "assigned_to": "John Watts",
          "workspace_name": "TAK-279 DS Tech Transfer to TILGC",
          "workspace_id": "8257582272931716"
        },
        {
          "allocation_pct": "100%",
          "assigned_to": "John Watts",
          "workspace_name": "TAK-279 DS Tech Transfer to TILGC",
          "workspace_id": "8257582272931716"
        },
        {
          "allocation_pct": "100%",
          "assigned_to": "Cristiam Vargas",
          "workspace_name": "TAK-279 DS Tech Transfer to TILGC",
          "workspace_id": "8257582272931716"
        },
        {
          "allocation_pct": null,
          "assigned_to": null,
          "workspace_name": "TAK-279 DS Tech Transfer to TILGC",
          "workspace_id": "8257582272931716"
        },
        {
          "allocation_pct": null,
          "assigned_to": "Amy Maguire, Kyle Doherty",
          "workspace_name": "TAK-279 DS Tech Transfer to TILGC",
          "workspace_id": "8257582272931716"
        },
        {
          "allocation_pct": "100%",
          "assigned_to": "John Watts",
          "workspace_name": "TAK-279 DS Tech Transfer to TILGC",
          "workspace_id": "8257582272931716"
        },
        {
          "allocation_pct": null,
          "assigned_to": "Lynda Moran",
          "workspace_name": "TAK-279 DS Tech Transfer to TILGC",
          "workspace_id": "8257582272931716"
        },
        {
          "allocation_pct": null,
          "assigned_to": null,
          "workspace_name": "TAK-279 DS Tech Transfer to TILGC",
          "workspace_id": "8257582272931716"
        },
        {
          "allocation_pct": "100%",
          "assigned_to": "Cristiam Vargas",
          "workspace_name": "TAK-279 DS Tech Transfer to TILGC",
          "workspace_id": "8257582272931716"
        },
        {
          "allocation_pct": "100%",
          "assigned_to": "Meganadhan Sankar",
          "workspace_name": "TAK-279 DS Tech Transfer to TILGC",
          "workspace_id": "8257582272931716"
        },
        {
          "allocation_pct": "100%",
          "assigned_to": "Cristiam Vargas",
          "workspace_name": "TAK-279 DS Tech Transfer to TILGC",
          "workspace_id": "8257582272931716"
        },
        {
          "allocation_pct": "100%",
          "assigned_to": "John Watts",
          "workspace_name": "TAK-279 DS Tech Transfer to TILGC",
          "workspace_id": "8257582272931716"
        },
        {
          "allocation_pct": null,
          "assigned_to": "Cristiam Vargas",
          "workspace_name": "TAK-279 DS Tech Transfer to TILGC",
          "workspace_id": "8257582272931716"
        },
        {
          "allocation_pct": "100%",
          "assigned_to": "Meganadhan Sankar",
          "workspace_name": "TAK-279 DS Tech Transfer to TILGC",
          "workspace_id": "8257582272931716"
        },
        {
          "allocation_pct": null,
          "assigned_to": null,
          "workspace_name": "TAK-279 DS Tech Transfer to TILGC",
          "workspace_id": "8257582272931716"
        },
        {
          "allocation_pct": "100%",
          "assigned_to": "Meganadhan Sankar",
          "workspace_name": "TAK-279 DS Tech Transfer to TILGC",
          "workspace_id": "8257582272931716"
        },
        {
          "allocation_pct": null,
          "assigned_to": null,
          "workspace_name": "TAK-279 DS Tech Transfer to TILGC",
          "workspace_id": "8257582272931716"
        },
        {
          "allocation_pct": null,
          "assigned_to": null,
          "workspace_name": "TAK-279 DS Tech Transfer to TILGC",
          "workspace_id": "8257582272931716"
        },
        {
          "allocation_pct": null,
          "assigned_to": null,
          "workspace_name": "TAK-279 DS Tech Transfer to TILGC",
          "workspace_id": "8257582272931716"
        },
        {
          "allocation_pct": "100%",
          "assigned_to": "Hang Zhao",
          "workspace_name": "TAK-279 DS Tech Transfer to TILGC",
          "workspace_id": "8257582272931716"
        },
        {
          "allocation_pct": "100%",
          "assigned_to": "Ayman Zidan",
          "workspace_name": "TAK-279 DS Tech Transfer to TILGC",
          "workspace_id": "8257582272931716"
        },
        {
          "allocation_pct": null,
          "assigned_to": "Cristiam Vargas",
          "workspace_name": "TAK-279 DS Tech Transfer to TILGC",
          "workspace_id": "8257582272931716"
        },
        {
          "allocation_pct": null,
          "assigned_to": null,
          "workspace_name": "TAK-279 DS Tech Transfer to TILGC",
          "workspace_id": "8257582272931716"
        },
        {
          "allocation_pct": null,
          "assigned_to": "Cristiam Vargas",
          "workspace_name": "TAK-279 DS Tech Transfer to TILGC",
          "workspace_id": "8257582272931716"
        },
        {
          "allocation_pct": null,
          "assigned_to": null,
          "workspace_name": "TAK-279 DS Tech Transfer to TILGC",
          "workspace_id": "8257582272931716"
        },
        {
          "allocation_pct": "100%",
          "assigned_to": "Corey Hurley",
          "workspace_name": "TAK-279 DS Tech Transfer to TILGC",
          "workspace_id": "8257582272931716"
        },
        {
          "allocation_pct": null,
          "assigned_to": null,
          "workspace_name": "TAK-279 DS Tech Transfer to TILGC",
          "workspace_id": "8257582272931716"
        },
        {
          "allocation_pct": null,
          "assigned_to": null,
          "workspace_name": "TAK-279 DS Tech Transfer to TILGC",
          "workspace_id": "8257582272931716"
        },
        {
          "allocation_pct": null,
          "assigned_to": null,
          "workspace_name": "TAK-279 DS Tech Transfer to TILGC",
          "workspace_id": "8257582272931716"
        },
        {
          "allocation_pct": null,
          "assigned_to": null,
          "workspace_name": "TAK-279 DS Tech Transfer to TILGC",
          "workspace_id": "8257582272931716"
        },
        {
          "allocation_pct": null,
          "assigned_to": "Tru Schwartzberg",
          "workspace_name": "TAK-279 DS Tech Transfer to TILGC",
          "workspace_id": "8257582272931716"
        },
        {
          "allocation_pct": "100%",
          "assigned_to": "John Watts",
          "workspace_name": "TAK-279 DS Tech Transfer to TILGC",
          "workspace_id": "8257582272931716"
        },
        {
          "allocation_pct": null,
          "assigned_to": null,
          "workspace_name": "TAK-279 DS Tech Transfer to TILGC",
          "workspace_id": "8257582272931716"
        }
      ],
      "total_count": 33
    }
  }
}</t>
  </si>
  <si>
    <t>TC1_fetchRestockMaterial</t>
  </si>
  <si>
    <t>https://api-insights-dev2.takeda.io/inventory/graphql/</t>
  </si>
  <si>
    <t>query MyQuery {
  fetchRestockMaterial(
    input: {paginationFilters: {limit: 10, page: 1}, filter: {matId: "1004634", opuNm: "SM&amp;O", ctryGroupNm: "NO", actnDesc: "No Action"}}
  ) {
    limit
    page
    totalRecords
    riseDetails {
      materialId
      plantDetails {
        mfctCmo {
          plantId
          plantName
        }
        rdc {
          safetyStock
          safetyTimeFlag
          temperatureDescription
          grtAir
          grtSea
          pdtAir
          pdtRoad
          pdtSea
          plantId
          procureSerialTypeCode
          safetyTimeValue
          sptCode
        }
        loc {
          plantName
          blockedStockQuantity
          fixLotSize
          grtRoad
          grtAir
          inTransitQuantity
          materialTemperatureTypeDescription
          matStatCode
          materialTemperatureDescription
          pdtSea
          pdtRoad
          pdtAir
          sptCode
          safetyStock
          safetyTimeFlag
          safetyTimeValue
        }
      }
      restockInventory {
        next6MonthAvg
        clusterDescription
        daysOfCoverageAfterAir
        daysOfCoverageAfterAirSea
        dedicatedSharedDescription
        divestmentImpactDescription
        next3MonthAvg
        next3MonthForecastQuantity
        next4MonthForecastQuantity
        next12MonthForecastPcQuantity
        next12MonthForecastPalQuantity
        reorderThresholdByRoad
        replPalletQtyByAir
      }
      materialDimDetails {
        labDesignOfficeCode
        productBrandName
        materialDescription
        materialBoxQuantity
        materialPalletQuantity
        productBrandTradeName
      }
      materialComment {
        commentDescription
        countryName
        employeeId
        plantId
        plantTypeCode
      }
    }
  }
}</t>
  </si>
  <si>
    <t>{
  "data": {
    "fetchRestockMaterial": {
      "limit": 10,
      "page": 1,
      "totalRecords": 1,
      "riseDetails": [
        {
          "materialId": "1004634",
          "plantDetails": {
            "mfctCmo": null,
            "rdc": {
              "safetyStock": 0,
              "safetyTimeFlag": "2",
              "temperatureDescription": "Ambient (+15°C to +25°C)",
              "grtAir": "1.0000",
              "grtSea": "1.0000",
              "pdtAir": null,
              "pdtRoad": "1.0000",
              "pdtSea": null,
              "plantId": "3811",
              "procureSerialTypeCode": "4R",
              "safetyTimeValue": 40,
              "sptCode": "4R"
            },
            "loc": null
          },
          "restockInventory": {
            "next6MonthAvg": null,
            "clusterDescription": "",
            "daysOfCoverageAfterAir": null,
            "daysOfCoverageAfterAirSea": null,
            "dedicatedSharedDescription": "Dedicated",
            "divestmentImpactDescription": null,
            "next3MonthAvg": null,
            "next3MonthForecastQuantity": 0,
            "next4MonthForecastQuantity": 0,
            "next12MonthForecastPcQuantity": 10000,
            "next12MonthForecastPalQuantity": 2,
            "reorderThresholdByRoad": 0,
            "replPalletQtyByAir": null
          },
          "materialDimDetails": {
            "labDesignOfficeCode": "018",
            "productBrandName": "VITAMIN B12",
            "materialDescription": "Vitamin B12 1mg/ml inj 5x1 ml amp NOR",
            "materialBoxQuantity": 140,
            "materialPalletQuantity": 6160,
            "productBrandTradeName": "VITAMIN B12"
          },
          "materialComment": null
        }
      ]
    }
  }
}</t>
  </si>
  <si>
    <t>TC2_updateMaterialRemarks</t>
  </si>
  <si>
    <t>mutation {
  updateMaterialRemarks(
   inputs: {
     materialId: "6226995"
     rdcPlantId: "3811"
     locPlantId: "3811"
     mfctPlantId: "18"
     remark: "stock"
     countryName: "DE"
   }
  ) {
   data {
     countryName
     materialId
   }
  }
}</t>
  </si>
  <si>
    <t>{
  "data": {
    "updateMaterialRemarks": {
      "data": [
        {
          "countryName": "DE",
          "materialId": "6226995"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</si>
</sst>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font>
      <sz val="11"/>
      <color theme="1"/>
      <name val="Aptos Narrow"/>
      <family val="2"/>
      <scheme val="minor"/>
    </font>
    <font>
      <sz val="11"/>
      <color theme="1"/>
      <name val="Aptos Narrow"/>
      <family val="2"/>
      <scheme val="minor"/>
    </font>
    <font>
      <sz val="11"/>
      <color rgb="FF000000"/>
      <name val="Aptos Narrow"/>
      <family val="2"/>
    </font>
    <font>
      <sz val="6"/>
      <color rgb="FFFFFFFF"/>
      <name val="Courier New"/>
      <family val="3"/>
    </font>
    <font>
      <sz val="11"/>
      <color rgb="FF212121"/>
      <name val="Arrow na"/>
    </font>
    <font>
      <u/>
      <sz val="11"/>
      <color theme="10"/>
      <name val="Aptos Narrow"/>
      <family val="2"/>
      <scheme val="minor"/>
    </font>
    <font>
      <sz val="9"/>
      <color rgb="FF000000"/>
      <name val="IBMPlexMono"/>
      <charset val="1"/>
    </font>
    <font>
      <sz val="9"/>
      <color rgb="FF000000"/>
      <name val="IBMPlexMono"/>
    </font>
    <font>
      <sz val="11"/>
      <color rgb="FF000000"/>
      <name val="Aptos Narrow"/>
      <family val="2"/>
      <scheme val="minor"/>
    </font>
    <font>
      <sz val="11"/>
      <color rgb="FFFF0000"/>
      <name val="Aptos Narrow"/>
      <family val="2"/>
      <scheme val="minor"/>
    </font>
    <font>
      <sz val="11"/>
      <color rgb="FF4EA72E"/>
      <name val="Aptos Narrow"/>
      <family val="2"/>
      <scheme val="minor"/>
    </font>
    <font>
      <sz val="11"/>
      <color rgb="FF00B0F0"/>
      <name val="Aptos Narrow"/>
      <family val="2"/>
      <scheme val="minor"/>
    </font>
    <font>
      <sz val="11"/>
      <color rgb="FFE87331"/>
      <name val="Aptos Narrow"/>
      <family val="2"/>
      <scheme val="minor"/>
    </font>
    <font>
      <b/>
      <sz val="11"/>
      <color rgb="FF00B0F0"/>
      <name val="Aptos Narrow"/>
      <family val="2"/>
      <scheme val="minor"/>
    </font>
    <font>
      <b/>
      <sz val="11"/>
      <color rgb="FF000000"/>
      <name val="Aptos Narrow"/>
      <family val="2"/>
      <scheme val="minor"/>
    </font>
    <font>
      <b/>
      <sz val="11"/>
      <color theme="1"/>
      <name val="Aptos Narrow"/>
      <family val="2"/>
      <scheme val="minor"/>
    </font>
    <font>
      <b/>
      <sz val="11"/>
      <color rgb="FF242424"/>
      <name val="Aptos Narrow"/>
      <family val="2"/>
      <scheme val="minor"/>
    </font>
    <font>
      <sz val="11"/>
      <name val="Aptos Narrow"/>
      <family val="2"/>
      <scheme val="minor"/>
    </font>
    <font>
      <sz val="11"/>
      <color rgb="FF1F1F1F"/>
      <name val="Aptos Narrow"/>
      <family val="2"/>
    </font>
    <font>
      <sz val="14"/>
      <color rgb="FF000000"/>
      <name val="Aptos Narrow"/>
      <family val="2"/>
      <scheme val="minor"/>
    </font>
  </fonts>
  <fills count="16">
    <fill>
      <patternFill patternType="none"/>
    </fill>
    <fill>
      <patternFill patternType="gray125"/>
    </fill>
    <fill>
      <patternFill patternType="solid">
        <fgColor theme="6" tint="0.79998168889431442"/>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C0F1C8"/>
        <bgColor rgb="FF000000"/>
      </patternFill>
    </fill>
    <fill>
      <patternFill patternType="solid">
        <fgColor rgb="FFB5E6A2"/>
        <bgColor rgb="FF000000"/>
      </patternFill>
    </fill>
    <fill>
      <patternFill patternType="solid">
        <fgColor rgb="FFFFFFFF"/>
        <bgColor rgb="FF000000"/>
      </patternFill>
    </fill>
    <fill>
      <patternFill patternType="solid">
        <fgColor rgb="FFDAF2D0"/>
        <bgColor rgb="FF000000"/>
      </patternFill>
    </fill>
    <fill>
      <patternFill patternType="solid">
        <fgColor rgb="FFFFFF00"/>
        <bgColor rgb="FF000000"/>
      </patternFill>
    </fill>
    <fill>
      <patternFill patternType="solid">
        <fgColor rgb="FFF2CEEF"/>
        <bgColor rgb="FF000000"/>
      </patternFill>
    </fill>
    <fill>
      <patternFill patternType="solid">
        <fgColor rgb="FFF7BEBE"/>
        <bgColor rgb="FF000000"/>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76">
    <xf numFmtId="0" fontId="0" fillId="0" borderId="0" xfId="0"/>
    <xf numFmtId="0" fontId="1" fillId="0" borderId="0" xfId="0" applyFont="1" applyAlignment="1">
      <alignment vertical="top"/>
    </xf>
    <xf numFmtId="0" fontId="1" fillId="2" borderId="0" xfId="0" applyFont="1" applyFill="1" applyAlignment="1">
      <alignment horizontal="center" vertical="top"/>
    </xf>
    <xf numFmtId="0" fontId="2" fillId="2" borderId="0" xfId="0" applyFont="1" applyFill="1" applyAlignment="1">
      <alignment horizontal="center" vertical="top"/>
    </xf>
    <xf numFmtId="0" fontId="1" fillId="0" borderId="0" xfId="0" applyFont="1" applyAlignment="1">
      <alignment horizontal="center"/>
    </xf>
    <xf numFmtId="0" fontId="1" fillId="0" borderId="0" xfId="0" applyFont="1" applyAlignment="1">
      <alignment horizontal="center" vertical="top"/>
    </xf>
    <xf numFmtId="0" fontId="1" fillId="2" borderId="0" xfId="0" applyFont="1" applyFill="1" applyAlignment="1">
      <alignment horizontal="center" vertical="center"/>
    </xf>
    <xf numFmtId="0" fontId="1" fillId="2" borderId="0" xfId="0" applyFont="1" applyFill="1" applyAlignment="1">
      <alignment horizontal="center"/>
    </xf>
    <xf numFmtId="0" fontId="1" fillId="0" borderId="0" xfId="0" applyFont="1" applyAlignment="1">
      <alignment horizontal="center" vertical="center" wrapText="1"/>
    </xf>
    <xf numFmtId="0" fontId="3" fillId="0" borderId="0" xfId="0" applyFont="1" applyAlignment="1">
      <alignment vertical="top"/>
    </xf>
    <xf numFmtId="0" fontId="1" fillId="0" borderId="0" xfId="0" applyFont="1" applyAlignment="1">
      <alignment wrapText="1"/>
    </xf>
    <xf numFmtId="0" fontId="1" fillId="0" borderId="0" xfId="0" applyFont="1" applyAlignment="1">
      <alignment horizontal="center" vertical="top" wrapText="1"/>
    </xf>
    <xf numFmtId="0" fontId="1" fillId="0" borderId="0" xfId="0" applyFont="1"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applyAlignment="1">
      <alignment wrapText="1"/>
    </xf>
    <xf numFmtId="0" fontId="7" fillId="0" borderId="0" xfId="0" applyFont="1" applyAlignment="1">
      <alignment wrapText="1"/>
    </xf>
    <xf numFmtId="0" fontId="6" fillId="0" borderId="0" xfId="0" applyFont="1"/>
    <xf numFmtId="0" fontId="7" fillId="0" borderId="0" xfId="0" applyFont="1"/>
    <xf numFmtId="0" fontId="1" fillId="0" borderId="0" xfId="0" applyFont="1" applyAlignment="1">
      <alignment vertical="center" wrapText="1"/>
    </xf>
    <xf numFmtId="0" fontId="1" fillId="3" borderId="0" xfId="0" applyFont="1" applyFill="1" applyAlignment="1">
      <alignment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8" fillId="0" borderId="0" xfId="0" applyFont="1" applyAlignment="1">
      <alignment horizontal="center" vertical="center"/>
    </xf>
    <xf numFmtId="22" fontId="8" fillId="0" borderId="0" xfId="0" applyNumberFormat="1" applyFont="1" applyAlignment="1">
      <alignment horizontal="center" vertical="center"/>
    </xf>
    <xf numFmtId="0" fontId="9" fillId="8" borderId="0" xfId="0" applyFont="1" applyFill="1" applyAlignment="1">
      <alignment horizontal="center" vertical="center"/>
    </xf>
    <xf numFmtId="0" fontId="10" fillId="9" borderId="0" xfId="0" applyFont="1" applyFill="1" applyAlignment="1">
      <alignment horizontal="center" vertical="center"/>
    </xf>
    <xf numFmtId="0" fontId="8" fillId="0" borderId="0" xfId="0" applyFont="1"/>
    <xf numFmtId="0" fontId="9" fillId="10" borderId="0" xfId="0" applyFont="1" applyFill="1" applyAlignment="1">
      <alignment horizontal="center" vertical="center"/>
    </xf>
    <xf numFmtId="0" fontId="10" fillId="10" borderId="0" xfId="0" applyFont="1" applyFill="1" applyAlignment="1">
      <alignment horizontal="center" vertical="center"/>
    </xf>
    <xf numFmtId="22" fontId="8" fillId="11" borderId="0" xfId="0" applyNumberFormat="1" applyFont="1" applyFill="1" applyAlignment="1">
      <alignment horizontal="center" vertical="center"/>
    </xf>
    <xf numFmtId="22" fontId="8" fillId="0" borderId="0" xfId="0" applyNumberFormat="1" applyFont="1" applyAlignment="1">
      <alignment horizontal="center" vertical="center" wrapText="1"/>
    </xf>
    <xf numFmtId="22" fontId="8" fillId="0" borderId="0" xfId="0" applyNumberFormat="1" applyFont="1"/>
    <xf numFmtId="0" fontId="11" fillId="0" borderId="0" xfId="0" applyFont="1" applyAlignment="1">
      <alignment horizontal="center" vertical="center"/>
    </xf>
    <xf numFmtId="0" fontId="12" fillId="0" borderId="0" xfId="0" applyFont="1" applyAlignment="1">
      <alignment horizontal="center" vertical="center"/>
    </xf>
    <xf numFmtId="22" fontId="12" fillId="11" borderId="0" xfId="0" applyNumberFormat="1" applyFont="1" applyFill="1" applyAlignment="1">
      <alignment horizontal="center" vertical="center"/>
    </xf>
    <xf numFmtId="22" fontId="12" fillId="0" borderId="0" xfId="0" applyNumberFormat="1" applyFont="1" applyAlignment="1">
      <alignment horizontal="center" vertical="center" wrapText="1"/>
    </xf>
    <xf numFmtId="22" fontId="12" fillId="0" borderId="0" xfId="0" applyNumberFormat="1" applyFont="1"/>
    <xf numFmtId="0" fontId="12" fillId="0" borderId="0" xfId="0" applyFont="1"/>
    <xf numFmtId="0" fontId="13"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xf>
    <xf numFmtId="0" fontId="16" fillId="0" borderId="0" xfId="0" applyFont="1" applyAlignment="1">
      <alignment horizontal="center"/>
    </xf>
    <xf numFmtId="22" fontId="8" fillId="12" borderId="0" xfId="0" applyNumberFormat="1" applyFont="1" applyFill="1" applyAlignment="1">
      <alignment horizontal="center" vertical="center"/>
    </xf>
    <xf numFmtId="0" fontId="8" fillId="12" borderId="0" xfId="0" applyFont="1" applyFill="1"/>
    <xf numFmtId="0" fontId="13" fillId="0" borderId="0" xfId="0" applyFont="1" applyAlignment="1">
      <alignment horizontal="center" vertical="center" wrapText="1"/>
    </xf>
    <xf numFmtId="22" fontId="14" fillId="13" borderId="0" xfId="0" applyNumberFormat="1" applyFont="1" applyFill="1"/>
    <xf numFmtId="22" fontId="14" fillId="0" borderId="0" xfId="0" applyNumberFormat="1" applyFont="1" applyAlignment="1">
      <alignment horizontal="center" vertical="center" wrapText="1"/>
    </xf>
    <xf numFmtId="0" fontId="8" fillId="0" borderId="0" xfId="0" applyFont="1" applyAlignment="1">
      <alignment horizontal="center" vertical="center" wrapText="1"/>
    </xf>
    <xf numFmtId="0" fontId="8" fillId="14" borderId="0" xfId="0" applyFont="1" applyFill="1" applyAlignment="1">
      <alignment horizontal="center" vertical="center"/>
    </xf>
    <xf numFmtId="0" fontId="8" fillId="11"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0" fillId="2" borderId="0" xfId="0" applyFill="1" applyAlignment="1">
      <alignment horizontal="center" vertical="center"/>
    </xf>
    <xf numFmtId="0" fontId="0" fillId="2" borderId="0" xfId="0" applyFill="1" applyAlignment="1">
      <alignment horizontal="center" vertical="top"/>
    </xf>
    <xf numFmtId="0" fontId="17" fillId="0" borderId="0" xfId="0" applyFont="1" applyAlignment="1">
      <alignment vertical="center"/>
    </xf>
    <xf numFmtId="0" fontId="18" fillId="0" borderId="0" xfId="0" applyFont="1" applyAlignment="1">
      <alignment horizontal="center" vertical="center"/>
    </xf>
    <xf numFmtId="0" fontId="0" fillId="0" borderId="0" xfId="0" applyAlignment="1">
      <alignment horizontal="center" vertical="center"/>
    </xf>
    <xf numFmtId="0" fontId="19" fillId="0" borderId="0" xfId="0" applyFont="1" applyAlignment="1">
      <alignment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wrapText="1"/>
    </xf>
    <xf numFmtId="0" fontId="8" fillId="0" borderId="0" xfId="0" applyFont="1" applyAlignment="1">
      <alignment horizont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2" fillId="2" borderId="2" xfId="0" applyFont="1" applyFill="1" applyBorder="1" applyAlignment="1">
      <alignment horizontal="center" vertical="top" wrapText="1"/>
    </xf>
    <xf numFmtId="0" fontId="0" fillId="0" borderId="2" xfId="0" applyBorder="1"/>
    <xf numFmtId="0" fontId="1" fillId="15" borderId="2" xfId="0" applyFont="1" applyFill="1" applyBorder="1" applyAlignment="1">
      <alignment horizontal="center" vertical="top" wrapText="1"/>
    </xf>
    <xf numFmtId="0" fontId="5" fillId="0" borderId="2" xfId="1" applyBorder="1"/>
    <xf numFmtId="0" fontId="0" fillId="0" borderId="2" xfId="0" applyBorder="1" applyAlignment="1">
      <alignment wrapText="1"/>
    </xf>
    <xf numFmtId="43" fontId="0" fillId="0" borderId="0" xfId="0" applyNumberFormat="1"/>
    <xf numFmtId="0" fontId="5"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api-insights-test2.takeda.io/" TargetMode="External"/><Relationship Id="rId3" Type="http://schemas.openxmlformats.org/officeDocument/2006/relationships/hyperlink" Target="https://api-insights-test2.takeda.io/" TargetMode="External"/><Relationship Id="rId7" Type="http://schemas.openxmlformats.org/officeDocument/2006/relationships/hyperlink" Target="https://api-insights-test2.takeda.io/" TargetMode="External"/><Relationship Id="rId12" Type="http://schemas.openxmlformats.org/officeDocument/2006/relationships/hyperlink" Target="https://api-insights-test2.takeda.io/" TargetMode="External"/><Relationship Id="rId2" Type="http://schemas.openxmlformats.org/officeDocument/2006/relationships/hyperlink" Target="https://api-insights-test2.takeda.io/" TargetMode="External"/><Relationship Id="rId1" Type="http://schemas.openxmlformats.org/officeDocument/2006/relationships/hyperlink" Target="https://api-insights-test2.takeda.io/" TargetMode="External"/><Relationship Id="rId6" Type="http://schemas.openxmlformats.org/officeDocument/2006/relationships/hyperlink" Target="https://api-insights-test2.takeda.io/" TargetMode="External"/><Relationship Id="rId11" Type="http://schemas.openxmlformats.org/officeDocument/2006/relationships/hyperlink" Target="https://api-insights-test2.takeda.io/" TargetMode="External"/><Relationship Id="rId5" Type="http://schemas.openxmlformats.org/officeDocument/2006/relationships/hyperlink" Target="https://api-insights-test2.takeda.io/" TargetMode="External"/><Relationship Id="rId10" Type="http://schemas.openxmlformats.org/officeDocument/2006/relationships/hyperlink" Target="https://api-insights-test2.takeda.io/" TargetMode="External"/><Relationship Id="rId4" Type="http://schemas.openxmlformats.org/officeDocument/2006/relationships/hyperlink" Target="https://api-insights-test2.takeda.io/" TargetMode="External"/><Relationship Id="rId9" Type="http://schemas.openxmlformats.org/officeDocument/2006/relationships/hyperlink" Target="https://api-insights-test2.takeda.i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pi-insights-dev2.takeda.io/batches/api/v1/external-batch-list?board_type=test&amp;opu=Plasma|Biologics&amp;site=Vienna|Madrid&amp;process=Drug%20Substance|Finished%20Drug%20Product|Master%20Cell%20Stock&amp;brand=Albumin%20NG|Alofisel&amp;page=1&amp;limit=100&amp;events=Tender|CPA&amp;status=Completed|On%20Track&amp;potency=Blank%20-%20Sales%20Rpt%20Code%20541/S5"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api-insights-dev2.takeda.io/inventory/graphql/" TargetMode="External"/><Relationship Id="rId1" Type="http://schemas.openxmlformats.org/officeDocument/2006/relationships/hyperlink" Target="https://api-insights-dev2.takeda.io/inventory/graphq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Normal="100" workbookViewId="0">
      <selection activeCell="A13" sqref="A13"/>
    </sheetView>
  </sheetViews>
  <sheetFormatPr defaultRowHeight="14.45" customHeight="1"/>
  <cols>
    <col min="1" max="1" width="82.42578125" style="1" customWidth="1"/>
    <col min="2" max="2" width="13.85546875" style="1" customWidth="1"/>
    <col min="3" max="3" width="12.85546875" style="1" customWidth="1"/>
    <col min="4" max="4" width="19" style="1" customWidth="1"/>
    <col min="5" max="5" width="24.140625" style="1" customWidth="1"/>
    <col min="6" max="6" width="35.140625" style="1" customWidth="1"/>
    <col min="7" max="7" width="34.140625" customWidth="1"/>
  </cols>
  <sheetData>
    <row r="1" spans="1:7" ht="14.45" customHeight="1">
      <c r="A1" s="2" t="s">
        <v>0</v>
      </c>
      <c r="B1" s="2" t="s">
        <v>1</v>
      </c>
      <c r="C1" s="2" t="s">
        <v>2</v>
      </c>
      <c r="D1" s="2" t="s">
        <v>3</v>
      </c>
      <c r="E1" s="2" t="s">
        <v>4</v>
      </c>
      <c r="F1" s="3" t="s">
        <v>5</v>
      </c>
      <c r="G1" s="2" t="s">
        <v>6</v>
      </c>
    </row>
    <row r="2" spans="1:7" s="4" customFormat="1" ht="14.45" customHeight="1">
      <c r="A2" s="4" t="str">
        <f>CONCATENATE("TC_",'API Test Inputs'!A2,"_",'API Test Inputs'!B2,"_Description:",'API Test Inputs'!E2,"_Tester:",'API Test Inputs'!C2)</f>
        <v>TC_1_AI_Chat_Description:verifyCreateConversation_Tester:Alok Kumar</v>
      </c>
      <c r="B2" s="4" t="str">
        <f>'API Test Inputs'!D2</f>
        <v>/genai/graphql</v>
      </c>
      <c r="C2" s="4" t="str">
        <f>'API Test Inputs'!F2</f>
        <v>POST</v>
      </c>
      <c r="D2" s="5" t="str">
        <f>'API Test Inputs'!G2</f>
        <v>{"query":"mutation MyMutation {\n  create_conversation(\n    inputs: {scope_id: \"04b7fc60-63bd-44d7-bcbf-09d1476fa0aa\", conversation_name: \"Created Conv by Automation\", conversation_id: \"{conversation_id}\", created_timestamp: \"{current_timeStamp}\", owned_by_user_id: 50395262, shared_by_user_id : 50395262}\n  ) {\n    data {\n      conversation_id\n      conv_own_emp_id\n      conversation_name\n      created_timestamp\n      last_msg_timestamp\n    scope_id\n shared_by_user_id\n }\n    message\n    status\n    }\n}"}</v>
      </c>
      <c r="E2" s="4">
        <f>'API Test Inputs'!H2</f>
        <v>200</v>
      </c>
      <c r="F2" s="4" t="str">
        <f>'API Test Inputs'!I2</f>
        <v>{"data":{"create_conversation":{"data":[{"conversation_id":"{conversation_id}","conv_own_emp_id":50395262,"conversation_name":"Created Conv by Automation","scope_id":"04b7fc60-63bd-44d7-bcbf-09d1476fa0aa","shared_by_user_id":50395262}],"message":"Conversation created successfully","status":"Created"}}}</v>
      </c>
      <c r="G2" s="4" t="s">
        <v>7</v>
      </c>
    </row>
    <row r="3" spans="1:7" ht="14.45" customHeight="1">
      <c r="A3" s="4" t="str">
        <f>CONCATENATE("TC_",'API Test Inputs'!A3,"_",'API Test Inputs'!B3,"_Description:",'API Test Inputs'!E3,"_Tester:",'API Test Inputs'!C3)</f>
        <v>TC_2_AI_Chat_Description:verifyCreateMessage_Tester:Alok Kumar</v>
      </c>
      <c r="B3" s="4" t="str">
        <f>'API Test Inputs'!D3</f>
        <v>/genai/graphql</v>
      </c>
      <c r="C3" s="4" t="str">
        <f>'API Test Inputs'!F3</f>
        <v>POST</v>
      </c>
      <c r="D3" s="5" t="str">
        <f>'API Test Inputs'!G3</f>
        <v>{"query":"mutation MyMutation { create_message( input: {prompt: \"{\\\"task\\\": \\\"\\\", \\\"scope\\\": \\\"\\\", \\\"context\\\": \\\"\\\", \\\"user_text\\\": \\\"What is PIC?\\\", \\\"custom_instruction\\\": \\\"\\\"}\", response: \"{\\\"long_response\\\": {\\\"graph\\\": [], \\\"table\\\": []}, \\\"short_response\\\": \\\"## Predictive Insights Center (PIC)\\\\n\\\\nThe **Predictive Insights Center (PIC)** is a strategic initiative driving Takeda's digital transformation through:\\\\n\\\\n- **Centralized Data Platform**: Unifies data from GMS/GQ systems into one source\\\\n- **AI Integration**: Provides automated, AI-driven prescriptive analytics\\\\n- **Cross-Functional Collaboration**: Bridges data silos between teams and departments\\\\n- **Decision Support**: Enables proactive, predictive decision-making\\\\n\\\\n### Key Features:\\\\n- Replaces fragmented tools with integrated digital solutions\\\\n- Facilitates end-to-end process orchestration\\\\n- Embeds AI for advanced predictive analytics\\\\n- Aims for faster, smarter operational decisions\\\\n\\\\n*Vision 2030 Goal*: Establish a single-source-of-truth environment for enterprise-wide insights.\\\", \\\"reasoning_response\\\": \\\"\\\"}\", prompt_datetime: \"{current_timeStamp}\", response_datetime: \"{current_timeStamp}\", prompt_emp_id: 50395262, conversation_id: \"{conversation_id}\", task_id: \"cc5f121d-f478-4f83-a88e-f092ae29e921\"} ) { message status data { message_id prompt response task_id user_rating conversation_id } }}"}</v>
      </c>
      <c r="E3" s="4">
        <f>'API Test Inputs'!H3</f>
        <v>200</v>
      </c>
      <c r="F3" s="4" t="str">
        <f>'API Test Inputs'!I3</f>
        <v>{"data":{"create_message":{"message":"Message created successfully","status":"Created","data":[{"message_id":"{message_id}","prompt":{"task":"","scope":"","context":"","user_text":"What is PIC?","custom_instruction":""},"response":{"long_response":{"graph":[],"table":[]},"reasoning_response":""},"task_id":"cc5f121d-f478-4f83-a88e-f092ae29e921","conversation_id":"{conversation_id}"}]}}}</v>
      </c>
      <c r="G3" s="4" t="s">
        <v>8</v>
      </c>
    </row>
    <row r="4" spans="1:7" ht="14.45" customHeight="1">
      <c r="A4" s="4" t="str">
        <f>CONCATENATE("TC_",'API Test Inputs'!A4,"_",'API Test Inputs'!B4,"_Description:",'API Test Inputs'!E4,"_Tester:",'API Test Inputs'!C4)</f>
        <v>TC_3_AI_Chat_Description:verifyFetchConversation_Tester:Alok Kumar</v>
      </c>
      <c r="B4" s="4" t="str">
        <f>'API Test Inputs'!D4</f>
        <v>/genai/graphql</v>
      </c>
      <c r="C4" s="4" t="str">
        <f>'API Test Inputs'!F4</f>
        <v>POST</v>
      </c>
      <c r="D4" s="5" t="str">
        <f>'API Test Inputs'!G4</f>
        <v>{"operationName":"GetConversationName","variables":{},"query":"query GetConversationName {\n  fetch_conversations(\n    conversation_ids: \"{conversation_id}\"\n    for_current_user: true\n    scope_id: \"04b7fc60-63bd-44d7-bcbf-09d1476fa0aa\"\n  ) {\n    conversations {\n      conversation_id\n      conversation_name\n      __typename\n    }\n    __typename\n  }\n}"}</v>
      </c>
      <c r="E4" s="4">
        <f>'API Test Inputs'!H4</f>
        <v>200</v>
      </c>
      <c r="F4" s="4" t="str">
        <f>'API Test Inputs'!I4</f>
        <v>{"data":{"fetch_conversations":{"conversations":[{"conversation_id":"{conversation_id}","__typename":"Conversation"}],"__typename":"PaginatedConversations"}}}</v>
      </c>
      <c r="G4" s="4"/>
    </row>
    <row r="5" spans="1:7" ht="14.45" customHeight="1">
      <c r="A5" s="4" t="str">
        <f>CONCATENATE("TC_",'API Test Inputs'!A5,"_",'API Test Inputs'!B5,"_Description:",'API Test Inputs'!E5,"_Tester:",'API Test Inputs'!C5)</f>
        <v>TC_4_AI_Chat_Description:verifyFetchMessage_Tester:Alok Kumar</v>
      </c>
      <c r="B5" s="4" t="str">
        <f>'API Test Inputs'!D5</f>
        <v>/genai/graphql</v>
      </c>
      <c r="C5" s="4" t="str">
        <f>'API Test Inputs'!F5</f>
        <v>POST</v>
      </c>
      <c r="D5" s="5" t="str">
        <f>'API Test Inputs'!G5</f>
        <v>{"operationName":"UserGroupMemberId","variables":{},"query":"query UserGroupMemberId {\n  fetch_messages(\n    conversation_ids: [\"{conversation_id}\"]\n    for_current_user: true\n    task_id: \"cc5f121d-f478-4f83-a88e-f092ae29e921\"\n  ) {\n    messages {\n      message_id\n      conversation_id\n      prompt\n      prompt_created_ts\n      response\n      response_created_ts\n      src_type\n      user_rating\n      prompted_by_emp_id\n      gen_ai_audit\n      task_id\n      __typename\n    }\n    page_info {\n      has_next_page\n      has_previous_page\n      start_cursor\n      end_cursor\n      __typename\n    }\n    __typename\n  }\n}"}</v>
      </c>
      <c r="E5" s="4">
        <f>'API Test Inputs'!H5</f>
        <v>200</v>
      </c>
      <c r="F5" s="4" t="str">
        <f>'API Test Inputs'!I5</f>
        <v>{"data":{"fetch_messages":{"messages":[{"message_id":"{message_id}","conversation_id":"{conversation_id}","prompt":{"task":"","scope":"","context":"","user_text":"What is PIC?","custom_instruction":""},"response":{"long_response":{"graph":[],"table":[]},"reasoning_response":""},"src_type":"GEN_AI","prompted_by_emp_id":"50395262","task_id":"cc5f121d-f478-4f83-a88e-f092ae29e921"}],"page_info":{"has_next_page":false,"has_previous_page":false}}}}</v>
      </c>
      <c r="G5" s="4"/>
    </row>
    <row r="6" spans="1:7" ht="14.45" customHeight="1">
      <c r="A6" s="4" t="str">
        <f>CONCATENATE("TC_",'API Test Inputs'!A6,"_",'API Test Inputs'!B6,"_Description:",'API Test Inputs'!E6,"_Tester:",'API Test Inputs'!C6)</f>
        <v>TC_5_AI_Chat_Description:verifyUpdateConversation_Tester:Alok Kumar</v>
      </c>
      <c r="B6" s="4" t="str">
        <f>'API Test Inputs'!D6</f>
        <v>/genai/graphql</v>
      </c>
      <c r="C6" s="4" t="str">
        <f>'API Test Inputs'!F6</f>
        <v>POST</v>
      </c>
      <c r="D6" s="5" t="str">
        <f>'API Test Inputs'!G6</f>
        <v>{"operationName":"UpdateConversation","variables":{},"query":"mutation UpdateConversation {\n  update_conversation(\n    inputs: {scope_id: \"04b7fc60-63bd-44d7-bcbf-09d1476fa0aa\", conversation_name: \"Updated Conv by Automation\", conversation_id: \"{conversation_id}\"}\n  ) {\n    message\n    status\n    __typename\n  }\n}"}</v>
      </c>
      <c r="E6" s="4">
        <f>'API Test Inputs'!H6</f>
        <v>200</v>
      </c>
      <c r="F6" s="4" t="str">
        <f>'API Test Inputs'!I6</f>
        <v>{"data":{"update_conversation":{"message":"Conversation updated successfully","status":"Updated","__typename":"ConversationResponse"}}}</v>
      </c>
      <c r="G6" s="4"/>
    </row>
    <row r="7" spans="1:7" ht="14.45" customHeight="1">
      <c r="A7" s="4" t="str">
        <f>CONCATENATE("TC_",'API Test Inputs'!A7,"_",'API Test Inputs'!B7,"_Description:",'API Test Inputs'!E7,"_Tester:",'API Test Inputs'!C7)</f>
        <v>TC_6_AI_Chat_Description:verifyUpdateMessage_Tester:Alok Kumar</v>
      </c>
      <c r="B7" s="4" t="str">
        <f>'API Test Inputs'!D7</f>
        <v>/genai/graphql</v>
      </c>
      <c r="C7" s="4" t="str">
        <f>'API Test Inputs'!F7</f>
        <v>POST</v>
      </c>
      <c r="D7" s="5" t="str">
        <f>'API Test Inputs'!G7</f>
        <v>{"operationName":"MyMutation","variables":{},"query":"mutation MyMutation {\n  update_message(\n    input: {message_id: \"{message_id}\", user_rating: 3}\n  ) {\n    data {\n      conversation_id\n      user_rating\n      message_id\n      task_id\n      __typename\n    }\n    message\n    status\n    __typename\n  }\n}"}</v>
      </c>
      <c r="E7" s="4">
        <f>'API Test Inputs'!H7</f>
        <v>200</v>
      </c>
      <c r="F7" s="4" t="str">
        <f>'API Test Inputs'!I7</f>
        <v>{"data":{"update_message":{"data":[{"conversation_id":"{conversation_id}","user_rating":3,"message_id":"{message_id}","task_id":"cc5f121d-f478-4f83-a88e-f092ae29e921","__typename":"MessageResponse"}],"message":"Message updated successfully","status":"Updated","__typename":"StandardResponse"}}}</v>
      </c>
      <c r="G7" s="4"/>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zoomScaleNormal="100" workbookViewId="0">
      <selection activeCell="D2" sqref="D2"/>
    </sheetView>
  </sheetViews>
  <sheetFormatPr defaultRowHeight="14.45" customHeight="1"/>
  <cols>
    <col min="2" max="2" width="21.42578125" customWidth="1"/>
    <col min="4" max="4" width="9" bestFit="1" customWidth="1"/>
  </cols>
  <sheetData>
    <row r="1" spans="1:7" ht="14.45" customHeight="1">
      <c r="A1" s="2" t="s">
        <v>0</v>
      </c>
      <c r="B1" s="6" t="s">
        <v>1</v>
      </c>
      <c r="C1" s="7" t="s">
        <v>2</v>
      </c>
      <c r="D1" s="2" t="s">
        <v>3</v>
      </c>
      <c r="E1" s="2" t="s">
        <v>4</v>
      </c>
      <c r="F1" s="3" t="s">
        <v>5</v>
      </c>
      <c r="G1" s="2" t="s">
        <v>6</v>
      </c>
    </row>
    <row r="2" spans="1:7" ht="409.6" customHeight="1">
      <c r="A2" s="8" t="s">
        <v>9</v>
      </c>
      <c r="B2" s="9" t="s">
        <v>10</v>
      </c>
      <c r="C2" t="s">
        <v>11</v>
      </c>
      <c r="D2" s="10" t="s">
        <v>12</v>
      </c>
      <c r="E2">
        <v>200</v>
      </c>
      <c r="F2" s="10" t="s">
        <v>13</v>
      </c>
      <c r="G2" t="s">
        <v>14</v>
      </c>
    </row>
    <row r="3" spans="1:7" ht="316.7" customHeight="1">
      <c r="A3" t="s">
        <v>15</v>
      </c>
      <c r="B3" s="10" t="s">
        <v>16</v>
      </c>
      <c r="C3" t="s">
        <v>11</v>
      </c>
      <c r="D3" s="10" t="s">
        <v>17</v>
      </c>
      <c r="E3">
        <v>200</v>
      </c>
      <c r="F3" s="10" t="s">
        <v>18</v>
      </c>
    </row>
    <row r="4" spans="1:7" ht="230.45" customHeight="1">
      <c r="A4" t="s">
        <v>19</v>
      </c>
      <c r="B4" s="10" t="s">
        <v>20</v>
      </c>
      <c r="C4" t="s">
        <v>21</v>
      </c>
      <c r="E4">
        <v>200</v>
      </c>
      <c r="F4" s="10" t="s">
        <v>22</v>
      </c>
    </row>
    <row r="5" spans="1:7" ht="409.6" customHeight="1">
      <c r="A5" t="s">
        <v>23</v>
      </c>
      <c r="B5" t="s">
        <v>24</v>
      </c>
      <c r="C5" t="s">
        <v>25</v>
      </c>
      <c r="D5" t="s">
        <v>26</v>
      </c>
      <c r="E5">
        <v>200</v>
      </c>
      <c r="F5" s="10" t="s">
        <v>27</v>
      </c>
    </row>
    <row r="6" spans="1:7" ht="409.6" customHeight="1">
      <c r="A6" t="s">
        <v>28</v>
      </c>
      <c r="B6" t="s">
        <v>29</v>
      </c>
      <c r="C6" t="s">
        <v>25</v>
      </c>
      <c r="D6" t="s">
        <v>26</v>
      </c>
      <c r="E6">
        <v>200</v>
      </c>
      <c r="F6" s="10" t="s">
        <v>30</v>
      </c>
    </row>
    <row r="7" spans="1:7" ht="72" customHeight="1">
      <c r="A7" t="s">
        <v>31</v>
      </c>
      <c r="B7" t="s">
        <v>32</v>
      </c>
      <c r="C7" t="s">
        <v>25</v>
      </c>
      <c r="D7" t="s">
        <v>26</v>
      </c>
      <c r="E7">
        <v>200</v>
      </c>
      <c r="F7" s="10" t="s">
        <v>33</v>
      </c>
    </row>
    <row r="8" spans="1:7" ht="409.6" customHeight="1">
      <c r="A8" t="s">
        <v>34</v>
      </c>
      <c r="B8" t="s">
        <v>35</v>
      </c>
      <c r="C8" t="s">
        <v>36</v>
      </c>
      <c r="D8" s="10" t="s">
        <v>37</v>
      </c>
      <c r="E8">
        <v>200</v>
      </c>
      <c r="F8" s="10" t="s">
        <v>38</v>
      </c>
    </row>
    <row r="9" spans="1:7" ht="409.6" customHeight="1">
      <c r="A9" t="s">
        <v>39</v>
      </c>
      <c r="B9" s="10" t="s">
        <v>40</v>
      </c>
      <c r="C9" t="s">
        <v>25</v>
      </c>
      <c r="D9" s="10" t="s">
        <v>26</v>
      </c>
      <c r="E9">
        <v>200</v>
      </c>
      <c r="F9" s="1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topLeftCell="A3" zoomScale="85" zoomScaleNormal="85" workbookViewId="0">
      <selection activeCell="F2" sqref="F2"/>
    </sheetView>
  </sheetViews>
  <sheetFormatPr defaultColWidth="8.85546875" defaultRowHeight="14.45" customHeight="1"/>
  <cols>
    <col min="1" max="1" width="6.140625" style="5" customWidth="1"/>
    <col min="2" max="2" width="10.42578125" style="5" customWidth="1"/>
    <col min="3" max="3" width="11.140625" style="5" customWidth="1"/>
    <col min="4" max="4" width="13.85546875" style="5" customWidth="1"/>
    <col min="5" max="5" width="26.42578125" style="5" customWidth="1"/>
    <col min="6" max="6" width="6.85546875" style="5" customWidth="1"/>
    <col min="7" max="7" width="19.85546875" style="5" customWidth="1"/>
    <col min="8" max="8" width="17.85546875" style="5" customWidth="1"/>
    <col min="9" max="9" width="58.85546875" style="5" customWidth="1"/>
    <col min="10" max="10" width="19" style="5" customWidth="1"/>
    <col min="11" max="11" width="12.42578125" style="5" customWidth="1"/>
    <col min="12" max="19" width="8.85546875" style="5" customWidth="1"/>
    <col min="20" max="16384" width="8.85546875" style="5"/>
  </cols>
  <sheetData>
    <row r="1" spans="1:10" ht="14.45" customHeight="1">
      <c r="A1" s="2" t="s">
        <v>42</v>
      </c>
      <c r="B1" s="2" t="s">
        <v>43</v>
      </c>
      <c r="C1" s="2" t="s">
        <v>44</v>
      </c>
      <c r="D1" s="2" t="s">
        <v>1</v>
      </c>
      <c r="E1" s="2" t="s">
        <v>0</v>
      </c>
      <c r="F1" s="2" t="s">
        <v>2</v>
      </c>
      <c r="G1" s="2" t="s">
        <v>3</v>
      </c>
      <c r="H1" s="2" t="s">
        <v>4</v>
      </c>
      <c r="I1" s="3" t="s">
        <v>5</v>
      </c>
      <c r="J1" s="2" t="s">
        <v>45</v>
      </c>
    </row>
    <row r="2" spans="1:10" ht="388.7" customHeight="1">
      <c r="A2" s="5">
        <v>1</v>
      </c>
      <c r="B2" s="5" t="s">
        <v>46</v>
      </c>
      <c r="C2" s="5" t="s">
        <v>47</v>
      </c>
      <c r="D2" s="5" t="s">
        <v>48</v>
      </c>
      <c r="E2" s="5" t="s">
        <v>49</v>
      </c>
      <c r="F2" s="5" t="s">
        <v>11</v>
      </c>
      <c r="G2" s="11" t="s">
        <v>50</v>
      </c>
      <c r="H2" s="5">
        <v>200</v>
      </c>
      <c r="I2" s="11" t="s">
        <v>51</v>
      </c>
      <c r="J2" s="5" t="s">
        <v>7</v>
      </c>
    </row>
    <row r="3" spans="1:10" ht="409.6" customHeight="1">
      <c r="A3" s="5">
        <v>2</v>
      </c>
      <c r="B3" s="5" t="s">
        <v>46</v>
      </c>
      <c r="C3" s="5" t="s">
        <v>47</v>
      </c>
      <c r="D3" s="5" t="s">
        <v>48</v>
      </c>
      <c r="E3" s="5" t="s">
        <v>52</v>
      </c>
      <c r="F3" s="5" t="s">
        <v>11</v>
      </c>
      <c r="G3" s="11" t="s">
        <v>53</v>
      </c>
      <c r="H3" s="5">
        <v>200</v>
      </c>
      <c r="I3" s="11" t="s">
        <v>54</v>
      </c>
      <c r="J3" s="5" t="s">
        <v>8</v>
      </c>
    </row>
    <row r="4" spans="1:10" ht="273.60000000000002" customHeight="1">
      <c r="A4" s="5">
        <v>3</v>
      </c>
      <c r="B4" s="5" t="s">
        <v>46</v>
      </c>
      <c r="C4" s="5" t="s">
        <v>47</v>
      </c>
      <c r="D4" s="5" t="s">
        <v>48</v>
      </c>
      <c r="E4" s="5" t="s">
        <v>55</v>
      </c>
      <c r="F4" s="5" t="s">
        <v>11</v>
      </c>
      <c r="G4" s="11" t="s">
        <v>56</v>
      </c>
      <c r="H4" s="5">
        <v>200</v>
      </c>
      <c r="I4" s="11" t="s">
        <v>57</v>
      </c>
    </row>
    <row r="5" spans="1:10" ht="409.6" customHeight="1">
      <c r="A5" s="5">
        <v>4</v>
      </c>
      <c r="B5" s="5" t="s">
        <v>46</v>
      </c>
      <c r="C5" s="5" t="s">
        <v>47</v>
      </c>
      <c r="D5" s="5" t="s">
        <v>48</v>
      </c>
      <c r="E5" s="5" t="s">
        <v>58</v>
      </c>
      <c r="F5" s="5" t="s">
        <v>11</v>
      </c>
      <c r="G5" s="11" t="s">
        <v>59</v>
      </c>
      <c r="H5" s="5">
        <v>200</v>
      </c>
      <c r="I5" s="11" t="s">
        <v>60</v>
      </c>
    </row>
    <row r="6" spans="1:10" ht="259.35000000000002" customHeight="1">
      <c r="A6" s="5">
        <v>5</v>
      </c>
      <c r="B6" s="5" t="s">
        <v>46</v>
      </c>
      <c r="C6" s="5" t="s">
        <v>47</v>
      </c>
      <c r="D6" s="5" t="s">
        <v>48</v>
      </c>
      <c r="E6" s="5" t="s">
        <v>61</v>
      </c>
      <c r="F6" s="5" t="s">
        <v>11</v>
      </c>
      <c r="G6" s="11" t="s">
        <v>62</v>
      </c>
      <c r="H6" s="5">
        <v>200</v>
      </c>
      <c r="I6" s="11" t="s">
        <v>63</v>
      </c>
    </row>
    <row r="7" spans="1:10" ht="230.45" customHeight="1">
      <c r="A7" s="5">
        <v>6</v>
      </c>
      <c r="B7" s="5" t="s">
        <v>46</v>
      </c>
      <c r="C7" s="5" t="s">
        <v>47</v>
      </c>
      <c r="D7" s="5" t="s">
        <v>48</v>
      </c>
      <c r="E7" s="5" t="s">
        <v>64</v>
      </c>
      <c r="F7" s="5" t="s">
        <v>11</v>
      </c>
      <c r="G7" s="11" t="s">
        <v>65</v>
      </c>
      <c r="H7" s="5">
        <v>200</v>
      </c>
      <c r="I7" s="1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topLeftCell="A5" zoomScaleNormal="100" workbookViewId="0">
      <selection activeCell="G11" sqref="G11"/>
    </sheetView>
  </sheetViews>
  <sheetFormatPr defaultRowHeight="14.45" customHeight="1"/>
  <cols>
    <col min="1" max="1" width="40.5703125" customWidth="1"/>
    <col min="2" max="2" width="200.28515625" bestFit="1" customWidth="1"/>
    <col min="3" max="3" width="18.85546875" customWidth="1"/>
    <col min="4" max="4" width="19.5703125" customWidth="1"/>
    <col min="5" max="5" width="24.5703125" customWidth="1"/>
    <col min="6" max="6" width="18.42578125" customWidth="1"/>
    <col min="7" max="7" width="19.5703125" customWidth="1"/>
  </cols>
  <sheetData>
    <row r="1" spans="1:7" ht="14.45" customHeight="1">
      <c r="A1" s="2" t="s">
        <v>0</v>
      </c>
      <c r="B1" s="6" t="s">
        <v>1</v>
      </c>
      <c r="C1" s="7" t="s">
        <v>2</v>
      </c>
      <c r="D1" s="2" t="s">
        <v>3</v>
      </c>
      <c r="E1" s="2" t="s">
        <v>4</v>
      </c>
      <c r="F1" s="3" t="s">
        <v>5</v>
      </c>
      <c r="G1" s="2" t="s">
        <v>6</v>
      </c>
    </row>
    <row r="2" spans="1:7" s="12" customFormat="1" ht="100.7" customHeight="1">
      <c r="A2" s="12" t="s">
        <v>67</v>
      </c>
      <c r="B2" s="13" t="s">
        <v>68</v>
      </c>
      <c r="C2" s="12" t="s">
        <v>11</v>
      </c>
      <c r="D2" s="12" t="s">
        <v>69</v>
      </c>
      <c r="E2" s="12">
        <v>200</v>
      </c>
      <c r="F2" s="8" t="s">
        <v>70</v>
      </c>
      <c r="G2" s="12" t="s">
        <v>71</v>
      </c>
    </row>
    <row r="3" spans="1:7" ht="409.6" customHeight="1">
      <c r="A3" s="12" t="s">
        <v>72</v>
      </c>
      <c r="B3" s="13" t="s">
        <v>68</v>
      </c>
      <c r="C3" s="12" t="s">
        <v>11</v>
      </c>
      <c r="D3" s="10" t="s">
        <v>73</v>
      </c>
      <c r="E3" s="12">
        <v>200</v>
      </c>
      <c r="F3" s="12" t="s">
        <v>70</v>
      </c>
      <c r="G3" s="12" t="s">
        <v>71</v>
      </c>
    </row>
    <row r="4" spans="1:7" ht="14.45" customHeight="1">
      <c r="A4" s="12" t="s">
        <v>74</v>
      </c>
      <c r="B4" s="13" t="s">
        <v>68</v>
      </c>
      <c r="C4" s="12" t="s">
        <v>11</v>
      </c>
      <c r="D4" t="s">
        <v>75</v>
      </c>
      <c r="E4" s="12">
        <v>200</v>
      </c>
      <c r="F4" s="12" t="s">
        <v>70</v>
      </c>
      <c r="G4" s="12" t="s">
        <v>71</v>
      </c>
    </row>
    <row r="5" spans="1:7" ht="100.7" customHeight="1">
      <c r="A5" s="12" t="s">
        <v>76</v>
      </c>
      <c r="B5" s="13" t="s">
        <v>68</v>
      </c>
      <c r="C5" s="12" t="s">
        <v>11</v>
      </c>
      <c r="D5" t="s">
        <v>77</v>
      </c>
      <c r="E5" s="12">
        <v>200</v>
      </c>
      <c r="F5" s="8" t="s">
        <v>70</v>
      </c>
      <c r="G5" s="12" t="s">
        <v>71</v>
      </c>
    </row>
    <row r="6" spans="1:7" ht="100.7" customHeight="1">
      <c r="A6" s="12" t="s">
        <v>78</v>
      </c>
      <c r="B6" s="13" t="s">
        <v>68</v>
      </c>
      <c r="C6" s="12" t="s">
        <v>11</v>
      </c>
      <c r="E6" s="12">
        <v>201</v>
      </c>
      <c r="F6" s="8" t="s">
        <v>70</v>
      </c>
      <c r="G6" s="12" t="s">
        <v>71</v>
      </c>
    </row>
    <row r="7" spans="1:7" ht="14.45" customHeight="1">
      <c r="A7" t="s">
        <v>79</v>
      </c>
      <c r="B7" t="s">
        <v>80</v>
      </c>
      <c r="C7" t="s">
        <v>81</v>
      </c>
      <c r="E7" t="s">
        <v>82</v>
      </c>
      <c r="F7" t="s">
        <v>83</v>
      </c>
    </row>
    <row r="8" spans="1:7" ht="14.45" customHeight="1">
      <c r="A8" t="s">
        <v>84</v>
      </c>
      <c r="B8" t="s">
        <v>85</v>
      </c>
      <c r="C8" t="s">
        <v>81</v>
      </c>
      <c r="E8" t="s">
        <v>86</v>
      </c>
      <c r="F8" t="s">
        <v>87</v>
      </c>
    </row>
    <row r="9" spans="1:7" ht="14.45" customHeight="1">
      <c r="A9" t="s">
        <v>88</v>
      </c>
      <c r="B9" t="s">
        <v>89</v>
      </c>
      <c r="C9" t="s">
        <v>81</v>
      </c>
      <c r="E9" t="s">
        <v>90</v>
      </c>
      <c r="F9" t="s">
        <v>91</v>
      </c>
    </row>
    <row r="10" spans="1:7" ht="14.45" customHeight="1">
      <c r="A10" t="s">
        <v>92</v>
      </c>
      <c r="B10" t="s">
        <v>93</v>
      </c>
      <c r="C10" t="s">
        <v>81</v>
      </c>
      <c r="E10" t="s">
        <v>94</v>
      </c>
      <c r="F10" t="s">
        <v>91</v>
      </c>
    </row>
    <row r="11" spans="1:7" ht="14.45" customHeight="1">
      <c r="A11" t="s">
        <v>95</v>
      </c>
      <c r="B11" t="s">
        <v>96</v>
      </c>
      <c r="C11" t="s">
        <v>25</v>
      </c>
      <c r="D11" t="s">
        <v>26</v>
      </c>
      <c r="E11">
        <v>200</v>
      </c>
      <c r="F11" s="65" t="s">
        <v>97</v>
      </c>
      <c r="G11"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
  <sheetViews>
    <sheetView topLeftCell="A2" zoomScaleNormal="100" workbookViewId="0">
      <selection activeCell="F2" sqref="F2"/>
    </sheetView>
  </sheetViews>
  <sheetFormatPr defaultRowHeight="14.45" customHeight="1"/>
  <cols>
    <col min="1" max="1" width="45.85546875" style="12" customWidth="1"/>
    <col min="2" max="2" width="17.85546875" customWidth="1"/>
    <col min="3" max="3" width="15.42578125" style="12" customWidth="1"/>
    <col min="4" max="4" width="22.5703125" customWidth="1"/>
    <col min="5" max="5" width="21.140625" customWidth="1"/>
    <col min="6" max="6" width="22.42578125" customWidth="1"/>
    <col min="7" max="7" width="32.140625" customWidth="1"/>
    <col min="24" max="24" width="20" customWidth="1"/>
    <col min="25" max="25" width="15.42578125" style="12" customWidth="1"/>
    <col min="26" max="26" width="15.140625" customWidth="1"/>
    <col min="27" max="27" width="18.85546875" customWidth="1"/>
    <col min="28" max="28" width="14.85546875" customWidth="1"/>
    <col min="29" max="29" width="19.85546875" customWidth="1"/>
  </cols>
  <sheetData>
    <row r="1" spans="1:7" ht="14.45" customHeight="1">
      <c r="A1" s="6" t="s">
        <v>0</v>
      </c>
      <c r="B1" s="6" t="s">
        <v>1</v>
      </c>
      <c r="C1" s="6" t="s">
        <v>2</v>
      </c>
      <c r="D1" s="2" t="s">
        <v>3</v>
      </c>
      <c r="E1" s="2" t="s">
        <v>4</v>
      </c>
      <c r="F1" s="3" t="s">
        <v>5</v>
      </c>
      <c r="G1" s="2" t="s">
        <v>6</v>
      </c>
    </row>
    <row r="2" spans="1:7" ht="409.6" customHeight="1">
      <c r="A2" s="12" t="s">
        <v>98</v>
      </c>
      <c r="B2" s="12" t="s">
        <v>48</v>
      </c>
      <c r="C2" s="12" t="s">
        <v>11</v>
      </c>
      <c r="D2" s="11" t="s">
        <v>99</v>
      </c>
      <c r="E2" s="5">
        <v>200</v>
      </c>
      <c r="F2" s="11" t="s">
        <v>100</v>
      </c>
      <c r="G2" s="5" t="s">
        <v>7</v>
      </c>
    </row>
    <row r="3" spans="1:7" ht="409.6" customHeight="1">
      <c r="A3" s="12" t="s">
        <v>101</v>
      </c>
      <c r="B3" s="12" t="s">
        <v>48</v>
      </c>
      <c r="C3" s="12" t="s">
        <v>11</v>
      </c>
      <c r="D3" s="11" t="s">
        <v>102</v>
      </c>
      <c r="E3" s="5">
        <v>200</v>
      </c>
      <c r="F3" s="11" t="s">
        <v>103</v>
      </c>
      <c r="G3" s="5" t="s">
        <v>8</v>
      </c>
    </row>
    <row r="4" spans="1:7" ht="273.60000000000002" customHeight="1">
      <c r="A4" s="12" t="s">
        <v>104</v>
      </c>
      <c r="B4" s="12" t="s">
        <v>48</v>
      </c>
      <c r="C4" s="12" t="s">
        <v>11</v>
      </c>
      <c r="D4" s="11" t="s">
        <v>105</v>
      </c>
      <c r="E4" s="5">
        <v>200</v>
      </c>
      <c r="F4" s="11" t="s">
        <v>106</v>
      </c>
      <c r="G4" s="5"/>
    </row>
    <row r="5" spans="1:7" ht="409.6" customHeight="1">
      <c r="A5" s="12" t="s">
        <v>107</v>
      </c>
      <c r="B5" s="12" t="s">
        <v>48</v>
      </c>
      <c r="C5" s="12" t="s">
        <v>11</v>
      </c>
      <c r="D5" s="11" t="s">
        <v>108</v>
      </c>
      <c r="E5" s="5">
        <v>200</v>
      </c>
      <c r="F5" s="11" t="s">
        <v>109</v>
      </c>
      <c r="G5" s="5"/>
    </row>
    <row r="6" spans="1:7" ht="374.45" customHeight="1">
      <c r="A6" s="12" t="s">
        <v>110</v>
      </c>
      <c r="B6" s="12" t="s">
        <v>48</v>
      </c>
      <c r="C6" s="12" t="s">
        <v>11</v>
      </c>
      <c r="D6" s="11" t="s">
        <v>111</v>
      </c>
      <c r="E6" s="5">
        <v>200</v>
      </c>
      <c r="F6" s="11" t="s">
        <v>112</v>
      </c>
      <c r="G6" s="5"/>
    </row>
    <row r="7" spans="1:7" ht="201.6" customHeight="1">
      <c r="A7" s="12" t="s">
        <v>113</v>
      </c>
      <c r="B7" s="12" t="s">
        <v>48</v>
      </c>
      <c r="C7" s="12" t="s">
        <v>11</v>
      </c>
      <c r="D7" s="11" t="s">
        <v>114</v>
      </c>
      <c r="E7" s="5">
        <v>200</v>
      </c>
      <c r="F7" s="11" t="s">
        <v>115</v>
      </c>
      <c r="G7"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7"/>
  <sheetViews>
    <sheetView tabSelected="1" topLeftCell="A12" zoomScaleNormal="100" workbookViewId="0">
      <selection activeCell="D15" sqref="D15"/>
    </sheetView>
  </sheetViews>
  <sheetFormatPr defaultRowHeight="14.45" customHeight="1"/>
  <cols>
    <col min="1" max="1" width="43.85546875" customWidth="1"/>
    <col min="2" max="2" width="36.5703125" customWidth="1"/>
    <col min="4" max="4" width="38.85546875" customWidth="1"/>
    <col min="5" max="5" width="18.85546875" customWidth="1"/>
    <col min="6" max="6" width="26.85546875" customWidth="1"/>
    <col min="7" max="7" width="12.42578125" customWidth="1"/>
    <col min="8" max="8" width="14" customWidth="1"/>
    <col min="9" max="9" width="21.85546875" customWidth="1"/>
  </cols>
  <sheetData>
    <row r="1" spans="1:10" ht="14.45" customHeight="1">
      <c r="A1" s="2" t="s">
        <v>0</v>
      </c>
      <c r="B1" s="6" t="s">
        <v>1</v>
      </c>
      <c r="C1" s="7" t="s">
        <v>2</v>
      </c>
      <c r="D1" s="2" t="s">
        <v>3</v>
      </c>
      <c r="E1" s="2" t="s">
        <v>4</v>
      </c>
      <c r="F1" s="3" t="s">
        <v>5</v>
      </c>
      <c r="G1" s="2" t="s">
        <v>6</v>
      </c>
      <c r="I1" s="2"/>
      <c r="J1" s="6"/>
    </row>
    <row r="2" spans="1:10" ht="199.5" customHeight="1">
      <c r="A2" s="14" t="s">
        <v>116</v>
      </c>
      <c r="B2" t="s">
        <v>117</v>
      </c>
      <c r="C2" t="s">
        <v>11</v>
      </c>
      <c r="D2" s="10" t="s">
        <v>118</v>
      </c>
      <c r="E2">
        <v>200</v>
      </c>
      <c r="F2" s="10" t="s">
        <v>119</v>
      </c>
      <c r="G2" t="s">
        <v>71</v>
      </c>
    </row>
    <row r="3" spans="1:10" ht="157.5" customHeight="1">
      <c r="A3" s="14" t="s">
        <v>116</v>
      </c>
      <c r="B3" s="10" t="s">
        <v>120</v>
      </c>
      <c r="C3" t="s">
        <v>25</v>
      </c>
      <c r="D3" s="10" t="s">
        <v>118</v>
      </c>
      <c r="E3">
        <v>200</v>
      </c>
      <c r="F3" s="10" t="s">
        <v>121</v>
      </c>
      <c r="G3" t="s">
        <v>71</v>
      </c>
    </row>
    <row r="4" spans="1:10" ht="198" customHeight="1">
      <c r="A4" s="14" t="s">
        <v>116</v>
      </c>
      <c r="B4" s="10" t="s">
        <v>122</v>
      </c>
      <c r="C4" t="s">
        <v>25</v>
      </c>
      <c r="D4" s="15" t="s">
        <v>118</v>
      </c>
      <c r="E4">
        <v>200</v>
      </c>
      <c r="F4" s="10" t="s">
        <v>123</v>
      </c>
    </row>
    <row r="5" spans="1:10" ht="123" customHeight="1">
      <c r="A5" s="14" t="s">
        <v>116</v>
      </c>
      <c r="B5" s="10" t="s">
        <v>124</v>
      </c>
      <c r="C5" t="s">
        <v>25</v>
      </c>
      <c r="D5" s="15" t="s">
        <v>118</v>
      </c>
      <c r="E5">
        <v>200</v>
      </c>
      <c r="F5" s="10" t="s">
        <v>125</v>
      </c>
    </row>
    <row r="6" spans="1:10" ht="72" customHeight="1">
      <c r="A6" s="14" t="s">
        <v>116</v>
      </c>
      <c r="B6" t="s">
        <v>126</v>
      </c>
      <c r="C6" t="s">
        <v>11</v>
      </c>
      <c r="D6" s="10" t="s">
        <v>127</v>
      </c>
      <c r="E6">
        <v>200</v>
      </c>
      <c r="F6" s="10" t="s">
        <v>128</v>
      </c>
      <c r="G6" t="s">
        <v>71</v>
      </c>
    </row>
    <row r="7" spans="1:10" ht="122.25" customHeight="1">
      <c r="A7" s="14" t="s">
        <v>116</v>
      </c>
      <c r="B7" s="10" t="s">
        <v>129</v>
      </c>
      <c r="C7" t="s">
        <v>25</v>
      </c>
      <c r="D7" s="10" t="s">
        <v>127</v>
      </c>
      <c r="E7">
        <v>200</v>
      </c>
      <c r="F7" s="10" t="s">
        <v>130</v>
      </c>
      <c r="G7" t="s">
        <v>71</v>
      </c>
    </row>
    <row r="8" spans="1:10" ht="153" customHeight="1">
      <c r="A8" s="14" t="s">
        <v>116</v>
      </c>
      <c r="B8" s="10" t="s">
        <v>131</v>
      </c>
      <c r="C8" t="s">
        <v>25</v>
      </c>
      <c r="D8" s="10" t="s">
        <v>127</v>
      </c>
      <c r="E8">
        <v>200</v>
      </c>
      <c r="F8" s="15" t="s">
        <v>132</v>
      </c>
    </row>
    <row r="9" spans="1:10" ht="209.25" customHeight="1">
      <c r="A9" s="14" t="s">
        <v>133</v>
      </c>
      <c r="B9" s="10" t="s">
        <v>134</v>
      </c>
      <c r="C9" t="s">
        <v>25</v>
      </c>
      <c r="D9" s="10" t="s">
        <v>127</v>
      </c>
      <c r="E9">
        <v>200</v>
      </c>
      <c r="F9" s="15" t="s">
        <v>135</v>
      </c>
    </row>
    <row r="10" spans="1:10" ht="140.25" customHeight="1">
      <c r="A10" s="14" t="s">
        <v>116</v>
      </c>
      <c r="B10" s="10" t="s">
        <v>136</v>
      </c>
      <c r="C10" t="s">
        <v>25</v>
      </c>
      <c r="D10" s="10" t="s">
        <v>127</v>
      </c>
      <c r="E10">
        <v>200</v>
      </c>
      <c r="F10" s="15" t="s">
        <v>137</v>
      </c>
    </row>
    <row r="11" spans="1:10" ht="165" customHeight="1">
      <c r="A11" s="14" t="s">
        <v>116</v>
      </c>
      <c r="B11" s="10" t="s">
        <v>138</v>
      </c>
      <c r="C11" t="s">
        <v>25</v>
      </c>
      <c r="D11" s="10" t="s">
        <v>127</v>
      </c>
      <c r="E11">
        <v>200</v>
      </c>
      <c r="F11" s="15" t="s">
        <v>139</v>
      </c>
    </row>
    <row r="12" spans="1:10" ht="207" customHeight="1">
      <c r="A12" s="14" t="s">
        <v>116</v>
      </c>
      <c r="B12" t="s">
        <v>140</v>
      </c>
      <c r="C12" t="s">
        <v>25</v>
      </c>
      <c r="D12" s="10" t="s">
        <v>118</v>
      </c>
      <c r="E12">
        <v>200</v>
      </c>
      <c r="F12" s="16" t="s">
        <v>141</v>
      </c>
      <c r="G12" t="s">
        <v>71</v>
      </c>
    </row>
    <row r="13" spans="1:10" ht="180.75" customHeight="1">
      <c r="A13" s="14" t="s">
        <v>116</v>
      </c>
      <c r="B13" t="s">
        <v>142</v>
      </c>
      <c r="C13" t="s">
        <v>25</v>
      </c>
      <c r="D13" s="10" t="s">
        <v>118</v>
      </c>
      <c r="E13">
        <v>200</v>
      </c>
      <c r="F13" s="15" t="s">
        <v>143</v>
      </c>
      <c r="G13" t="s">
        <v>71</v>
      </c>
    </row>
    <row r="14" spans="1:10" ht="14.45" customHeight="1">
      <c r="F14" s="17" t="s">
        <v>144</v>
      </c>
    </row>
    <row r="15" spans="1:10" ht="14.45" customHeight="1">
      <c r="A15" t="s">
        <v>145</v>
      </c>
      <c r="B15" t="s">
        <v>146</v>
      </c>
      <c r="C15" t="s">
        <v>11</v>
      </c>
      <c r="D15" s="65" t="s">
        <v>147</v>
      </c>
      <c r="E15">
        <v>200</v>
      </c>
      <c r="F15" s="15" t="s">
        <v>148</v>
      </c>
    </row>
    <row r="16" spans="1:10" ht="14.45" customHeight="1">
      <c r="F16" s="18"/>
    </row>
    <row r="17" spans="6:6" ht="14.45" customHeight="1">
      <c r="F17" s="17"/>
    </row>
    <row r="18" spans="6:6" ht="14.45" customHeight="1">
      <c r="F18" s="17"/>
    </row>
    <row r="19" spans="6:6" ht="14.45" customHeight="1">
      <c r="F19" s="17"/>
    </row>
    <row r="20" spans="6:6" ht="14.45" customHeight="1">
      <c r="F20" s="17"/>
    </row>
    <row r="21" spans="6:6" ht="14.45" customHeight="1">
      <c r="F21" s="17"/>
    </row>
    <row r="22" spans="6:6" ht="14.45" customHeight="1">
      <c r="F22" s="17"/>
    </row>
    <row r="23" spans="6:6" ht="14.45" customHeight="1">
      <c r="F23" s="17"/>
    </row>
    <row r="24" spans="6:6" ht="14.45" customHeight="1">
      <c r="F24" s="17"/>
    </row>
    <row r="25" spans="6:6" ht="14.45" customHeight="1">
      <c r="F25" s="17"/>
    </row>
    <row r="26" spans="6:6" ht="14.45" customHeight="1">
      <c r="F26" s="17"/>
    </row>
    <row r="27" spans="6:6" ht="14.45" customHeight="1">
      <c r="F27" s="17"/>
    </row>
    <row r="28" spans="6:6" ht="14.45" customHeight="1">
      <c r="F28" s="17"/>
    </row>
    <row r="29" spans="6:6" ht="14.45" customHeight="1">
      <c r="F29" s="17"/>
    </row>
    <row r="30" spans="6:6" ht="14.45" customHeight="1">
      <c r="F30" s="17"/>
    </row>
    <row r="31" spans="6:6" ht="14.45" customHeight="1">
      <c r="F31" s="17"/>
    </row>
    <row r="32" spans="6:6" ht="14.45" customHeight="1">
      <c r="F32" s="17"/>
    </row>
    <row r="33" spans="6:6" ht="14.45" customHeight="1">
      <c r="F33" s="17"/>
    </row>
    <row r="34" spans="6:6" ht="14.45" customHeight="1">
      <c r="F34" s="17"/>
    </row>
    <row r="35" spans="6:6" ht="14.45" customHeight="1">
      <c r="F35" s="17"/>
    </row>
    <row r="36" spans="6:6" ht="14.45" customHeight="1">
      <c r="F36" s="17"/>
    </row>
    <row r="37" spans="6:6" ht="14.45" customHeight="1">
      <c r="F37" s="17"/>
    </row>
    <row r="38" spans="6:6" ht="14.45" customHeight="1">
      <c r="F38" s="17"/>
    </row>
    <row r="39" spans="6:6" ht="14.45" customHeight="1">
      <c r="F39" s="17"/>
    </row>
    <row r="40" spans="6:6" ht="14.45" customHeight="1">
      <c r="F40" s="17"/>
    </row>
    <row r="41" spans="6:6" ht="14.45" customHeight="1">
      <c r="F41" s="17"/>
    </row>
    <row r="42" spans="6:6" ht="14.45" customHeight="1">
      <c r="F42" s="17"/>
    </row>
    <row r="43" spans="6:6" ht="14.45" customHeight="1">
      <c r="F43" s="17"/>
    </row>
    <row r="44" spans="6:6" ht="14.45" customHeight="1">
      <c r="F44" s="17"/>
    </row>
    <row r="45" spans="6:6" ht="14.45" customHeight="1">
      <c r="F45" s="17"/>
    </row>
    <row r="46" spans="6:6" ht="14.45" customHeight="1">
      <c r="F46" s="17"/>
    </row>
    <row r="47" spans="6:6" ht="14.45" customHeight="1">
      <c r="F47" s="17"/>
    </row>
    <row r="48" spans="6:6" ht="14.45" customHeight="1">
      <c r="F48" s="17"/>
    </row>
    <row r="49" spans="6:6" ht="14.45" customHeight="1">
      <c r="F49" s="17"/>
    </row>
    <row r="50" spans="6:6" ht="14.45" customHeight="1">
      <c r="F50" s="17"/>
    </row>
    <row r="51" spans="6:6" ht="14.45" customHeight="1">
      <c r="F51" s="17"/>
    </row>
    <row r="52" spans="6:6" ht="14.45" customHeight="1">
      <c r="F52" s="17"/>
    </row>
    <row r="53" spans="6:6" ht="14.45" customHeight="1">
      <c r="F53" s="17"/>
    </row>
    <row r="54" spans="6:6" ht="14.45" customHeight="1">
      <c r="F54" s="17"/>
    </row>
    <row r="55" spans="6:6" ht="14.45" customHeight="1">
      <c r="F55" s="17"/>
    </row>
    <row r="56" spans="6:6" ht="14.45" customHeight="1">
      <c r="F56" s="17"/>
    </row>
    <row r="57" spans="6:6" ht="14.45" customHeight="1">
      <c r="F57" s="17"/>
    </row>
    <row r="58" spans="6:6" ht="14.45" customHeight="1">
      <c r="F58" s="17"/>
    </row>
    <row r="59" spans="6:6" ht="14.45" customHeight="1">
      <c r="F59" s="17"/>
    </row>
    <row r="60" spans="6:6" ht="14.45" customHeight="1">
      <c r="F60" s="17"/>
    </row>
    <row r="61" spans="6:6" ht="14.45" customHeight="1">
      <c r="F61" s="17"/>
    </row>
    <row r="62" spans="6:6" ht="14.45" customHeight="1">
      <c r="F62" s="17"/>
    </row>
    <row r="63" spans="6:6" ht="14.45" customHeight="1">
      <c r="F63" s="17"/>
    </row>
    <row r="64" spans="6:6" ht="14.45" customHeight="1">
      <c r="F64" s="17"/>
    </row>
    <row r="65" spans="6:6" ht="14.45" customHeight="1">
      <c r="F65" s="17"/>
    </row>
    <row r="66" spans="6:6" ht="14.45" customHeight="1">
      <c r="F66" s="17"/>
    </row>
    <row r="67" spans="6:6" ht="14.45" customHeight="1">
      <c r="F67" s="17"/>
    </row>
    <row r="68" spans="6:6" ht="14.45" customHeight="1">
      <c r="F68" s="17"/>
    </row>
    <row r="69" spans="6:6" ht="14.45" customHeight="1">
      <c r="F69" s="17"/>
    </row>
    <row r="70" spans="6:6" ht="14.45" customHeight="1">
      <c r="F70" s="17"/>
    </row>
    <row r="71" spans="6:6" ht="14.45" customHeight="1">
      <c r="F71" s="17"/>
    </row>
    <row r="72" spans="6:6" ht="14.45" customHeight="1">
      <c r="F72" s="17"/>
    </row>
    <row r="73" spans="6:6" ht="14.45" customHeight="1">
      <c r="F73" s="17"/>
    </row>
    <row r="74" spans="6:6" ht="14.45" customHeight="1">
      <c r="F74" s="17"/>
    </row>
    <row r="75" spans="6:6" ht="14.45" customHeight="1">
      <c r="F75" s="17"/>
    </row>
    <row r="76" spans="6:6" ht="14.45" customHeight="1">
      <c r="F76" s="17"/>
    </row>
    <row r="77" spans="6:6" ht="14.45" customHeight="1">
      <c r="F77" s="17"/>
    </row>
    <row r="78" spans="6:6" ht="14.45" customHeight="1">
      <c r="F78" s="17"/>
    </row>
    <row r="79" spans="6:6" ht="14.45" customHeight="1">
      <c r="F79" s="17"/>
    </row>
    <row r="80" spans="6:6" ht="14.45" customHeight="1">
      <c r="F80" s="17"/>
    </row>
    <row r="81" spans="6:6" ht="14.45" customHeight="1">
      <c r="F81" s="17"/>
    </row>
    <row r="82" spans="6:6" ht="14.45" customHeight="1">
      <c r="F82" s="17"/>
    </row>
    <row r="83" spans="6:6" ht="14.45" customHeight="1">
      <c r="F83" s="17"/>
    </row>
    <row r="84" spans="6:6" ht="14.45" customHeight="1">
      <c r="F84" s="17"/>
    </row>
    <row r="85" spans="6:6" ht="14.45" customHeight="1">
      <c r="F85" s="17"/>
    </row>
    <row r="86" spans="6:6" ht="14.45" customHeight="1">
      <c r="F86" s="17"/>
    </row>
    <row r="87" spans="6:6" ht="14.45" customHeight="1">
      <c r="F87" s="17"/>
    </row>
    <row r="88" spans="6:6" ht="14.45" customHeight="1">
      <c r="F88" s="17"/>
    </row>
    <row r="89" spans="6:6" ht="14.45" customHeight="1">
      <c r="F89" s="17"/>
    </row>
    <row r="90" spans="6:6" ht="14.45" customHeight="1">
      <c r="F90" s="17"/>
    </row>
    <row r="91" spans="6:6" ht="14.45" customHeight="1">
      <c r="F91" s="17"/>
    </row>
    <row r="92" spans="6:6" ht="14.45" customHeight="1">
      <c r="F92" s="17"/>
    </row>
    <row r="93" spans="6:6" ht="14.45" customHeight="1">
      <c r="F93" s="17"/>
    </row>
    <row r="94" spans="6:6" ht="14.45" customHeight="1">
      <c r="F94" s="17"/>
    </row>
    <row r="95" spans="6:6" ht="14.45" customHeight="1">
      <c r="F95" s="17"/>
    </row>
    <row r="96" spans="6:6" ht="14.45" customHeight="1">
      <c r="F96" s="17"/>
    </row>
    <row r="97" spans="6:6" ht="14.45" customHeight="1">
      <c r="F97" s="17"/>
    </row>
    <row r="98" spans="6:6" ht="14.45" customHeight="1">
      <c r="F98" s="17"/>
    </row>
    <row r="99" spans="6:6" ht="14.45" customHeight="1">
      <c r="F99" s="17"/>
    </row>
    <row r="100" spans="6:6" ht="14.45" customHeight="1">
      <c r="F100" s="17"/>
    </row>
    <row r="101" spans="6:6" ht="14.45" customHeight="1">
      <c r="F101" s="17"/>
    </row>
    <row r="102" spans="6:6" ht="14.45" customHeight="1">
      <c r="F102" s="17"/>
    </row>
    <row r="103" spans="6:6" ht="14.45" customHeight="1">
      <c r="F103" s="17"/>
    </row>
    <row r="104" spans="6:6" ht="14.45" customHeight="1">
      <c r="F104" s="17"/>
    </row>
    <row r="105" spans="6:6" ht="14.45" customHeight="1">
      <c r="F105" s="17"/>
    </row>
    <row r="106" spans="6:6" ht="14.45" customHeight="1">
      <c r="F106" s="17"/>
    </row>
    <row r="107" spans="6:6" ht="14.45" customHeight="1">
      <c r="F107" s="17"/>
    </row>
    <row r="108" spans="6:6" ht="14.45" customHeight="1">
      <c r="F108" s="17"/>
    </row>
    <row r="109" spans="6:6" ht="14.45" customHeight="1">
      <c r="F109" s="17"/>
    </row>
    <row r="110" spans="6:6" ht="14.45" customHeight="1">
      <c r="F110" s="17"/>
    </row>
    <row r="111" spans="6:6" ht="14.45" customHeight="1">
      <c r="F111" s="17"/>
    </row>
    <row r="112" spans="6:6" ht="14.45" customHeight="1">
      <c r="F112" s="17"/>
    </row>
    <row r="113" spans="6:6" ht="14.45" customHeight="1">
      <c r="F113" s="17"/>
    </row>
    <row r="114" spans="6:6" ht="14.45" customHeight="1">
      <c r="F114" s="17"/>
    </row>
    <row r="115" spans="6:6" ht="14.45" customHeight="1">
      <c r="F115" s="17"/>
    </row>
    <row r="116" spans="6:6" ht="14.45" customHeight="1">
      <c r="F116" s="17"/>
    </row>
    <row r="117" spans="6:6" ht="14.45" customHeight="1">
      <c r="F117" s="17"/>
    </row>
    <row r="118" spans="6:6" ht="14.45" customHeight="1">
      <c r="F118" s="17"/>
    </row>
    <row r="119" spans="6:6" ht="14.45" customHeight="1">
      <c r="F119" s="17"/>
    </row>
    <row r="120" spans="6:6" ht="14.45" customHeight="1">
      <c r="F120" s="17"/>
    </row>
    <row r="121" spans="6:6" ht="14.45" customHeight="1">
      <c r="F121" s="17"/>
    </row>
    <row r="122" spans="6:6" ht="14.45" customHeight="1">
      <c r="F122" s="17"/>
    </row>
    <row r="123" spans="6:6" ht="14.45" customHeight="1">
      <c r="F123" s="17"/>
    </row>
    <row r="124" spans="6:6" ht="14.45" customHeight="1">
      <c r="F124" s="17"/>
    </row>
    <row r="125" spans="6:6" ht="14.45" customHeight="1">
      <c r="F125" s="17"/>
    </row>
    <row r="126" spans="6:6" ht="14.45" customHeight="1">
      <c r="F126" s="17"/>
    </row>
    <row r="127" spans="6:6" ht="14.45" customHeight="1">
      <c r="F127" s="17"/>
    </row>
    <row r="128" spans="6:6" ht="14.45" customHeight="1">
      <c r="F128" s="17"/>
    </row>
    <row r="129" spans="6:6" ht="14.45" customHeight="1">
      <c r="F129" s="17"/>
    </row>
    <row r="130" spans="6:6" ht="14.45" customHeight="1">
      <c r="F130" s="17"/>
    </row>
    <row r="131" spans="6:6" ht="14.45" customHeight="1">
      <c r="F131" s="17"/>
    </row>
    <row r="132" spans="6:6" ht="14.45" customHeight="1">
      <c r="F132" s="17"/>
    </row>
    <row r="133" spans="6:6" ht="14.45" customHeight="1">
      <c r="F133" s="17"/>
    </row>
    <row r="134" spans="6:6" ht="14.45" customHeight="1">
      <c r="F134" s="17"/>
    </row>
    <row r="135" spans="6:6" ht="14.45" customHeight="1">
      <c r="F135" s="17"/>
    </row>
    <row r="136" spans="6:6" ht="14.45" customHeight="1">
      <c r="F136" s="17"/>
    </row>
    <row r="137" spans="6:6" ht="14.45" customHeight="1">
      <c r="F137" s="17"/>
    </row>
    <row r="138" spans="6:6" ht="14.45" customHeight="1">
      <c r="F138" s="17"/>
    </row>
    <row r="139" spans="6:6" ht="14.45" customHeight="1">
      <c r="F139" s="17"/>
    </row>
    <row r="140" spans="6:6" ht="14.45" customHeight="1">
      <c r="F140" s="17"/>
    </row>
    <row r="141" spans="6:6" ht="14.45" customHeight="1">
      <c r="F141" s="17"/>
    </row>
    <row r="142" spans="6:6" ht="14.45" customHeight="1">
      <c r="F142" s="17"/>
    </row>
    <row r="143" spans="6:6" ht="14.45" customHeight="1">
      <c r="F143" s="17"/>
    </row>
    <row r="144" spans="6:6" ht="14.45" customHeight="1">
      <c r="F144" s="17"/>
    </row>
    <row r="145" spans="6:6" ht="14.45" customHeight="1">
      <c r="F145" s="17"/>
    </row>
    <row r="146" spans="6:6" ht="14.45" customHeight="1">
      <c r="F146" s="17"/>
    </row>
    <row r="147" spans="6:6" ht="14.45" customHeight="1">
      <c r="F147" s="17"/>
    </row>
    <row r="148" spans="6:6" ht="14.45" customHeight="1">
      <c r="F148" s="17"/>
    </row>
    <row r="149" spans="6:6" ht="14.45" customHeight="1">
      <c r="F149" s="17"/>
    </row>
    <row r="150" spans="6:6" ht="14.45" customHeight="1">
      <c r="F150" s="17"/>
    </row>
    <row r="151" spans="6:6" ht="14.45" customHeight="1">
      <c r="F151" s="17"/>
    </row>
    <row r="152" spans="6:6" ht="14.45" customHeight="1">
      <c r="F152" s="17"/>
    </row>
    <row r="153" spans="6:6" ht="14.45" customHeight="1">
      <c r="F153" s="17"/>
    </row>
    <row r="154" spans="6:6" ht="14.45" customHeight="1">
      <c r="F154" s="17"/>
    </row>
    <row r="155" spans="6:6" ht="14.45" customHeight="1">
      <c r="F155" s="17"/>
    </row>
    <row r="156" spans="6:6" ht="14.45" customHeight="1">
      <c r="F156" s="17"/>
    </row>
    <row r="157" spans="6:6" ht="14.45" customHeight="1">
      <c r="F157" s="17"/>
    </row>
    <row r="158" spans="6:6" ht="14.45" customHeight="1">
      <c r="F158" s="17"/>
    </row>
    <row r="159" spans="6:6" ht="14.45" customHeight="1">
      <c r="F159" s="17"/>
    </row>
    <row r="160" spans="6:6" ht="14.45" customHeight="1">
      <c r="F160" s="17"/>
    </row>
    <row r="161" spans="6:6" ht="14.45" customHeight="1">
      <c r="F161" s="17"/>
    </row>
    <row r="162" spans="6:6" ht="14.45" customHeight="1">
      <c r="F162" s="17"/>
    </row>
    <row r="163" spans="6:6" ht="14.45" customHeight="1">
      <c r="F163" s="17"/>
    </row>
    <row r="164" spans="6:6" ht="14.45" customHeight="1">
      <c r="F164" s="17"/>
    </row>
    <row r="165" spans="6:6" ht="14.45" customHeight="1">
      <c r="F165" s="17"/>
    </row>
    <row r="166" spans="6:6" ht="14.45" customHeight="1">
      <c r="F166" s="17"/>
    </row>
    <row r="167" spans="6:6" ht="14.45" customHeight="1">
      <c r="F167" s="17"/>
    </row>
    <row r="168" spans="6:6" ht="14.45" customHeight="1">
      <c r="F168" s="17"/>
    </row>
    <row r="169" spans="6:6" ht="14.45" customHeight="1">
      <c r="F169" s="17"/>
    </row>
    <row r="170" spans="6:6" ht="14.45" customHeight="1">
      <c r="F170" s="17"/>
    </row>
    <row r="171" spans="6:6" ht="14.45" customHeight="1">
      <c r="F171" s="17"/>
    </row>
    <row r="172" spans="6:6" ht="14.45" customHeight="1">
      <c r="F172" s="17"/>
    </row>
    <row r="173" spans="6:6" ht="14.45" customHeight="1">
      <c r="F173" s="17"/>
    </row>
    <row r="174" spans="6:6" ht="14.45" customHeight="1">
      <c r="F174" s="17"/>
    </row>
    <row r="175" spans="6:6" ht="14.45" customHeight="1">
      <c r="F175" s="17"/>
    </row>
    <row r="176" spans="6:6" ht="14.45" customHeight="1">
      <c r="F176" s="17"/>
    </row>
    <row r="177" spans="6:6" ht="14.45" customHeight="1">
      <c r="F177" s="17"/>
    </row>
    <row r="178" spans="6:6" ht="14.45" customHeight="1">
      <c r="F178" s="17"/>
    </row>
    <row r="179" spans="6:6" ht="14.45" customHeight="1">
      <c r="F179" s="17"/>
    </row>
    <row r="180" spans="6:6" ht="14.45" customHeight="1">
      <c r="F180" s="17"/>
    </row>
    <row r="181" spans="6:6" ht="14.45" customHeight="1">
      <c r="F181" s="17"/>
    </row>
    <row r="182" spans="6:6" ht="14.45" customHeight="1">
      <c r="F182" s="17"/>
    </row>
    <row r="183" spans="6:6" ht="14.45" customHeight="1">
      <c r="F183" s="17"/>
    </row>
    <row r="184" spans="6:6" ht="14.45" customHeight="1">
      <c r="F184" s="17"/>
    </row>
    <row r="185" spans="6:6" ht="14.45" customHeight="1">
      <c r="F185" s="17"/>
    </row>
    <row r="186" spans="6:6" ht="14.45" customHeight="1">
      <c r="F186" s="17"/>
    </row>
    <row r="187" spans="6:6" ht="14.45" customHeight="1">
      <c r="F187" s="17"/>
    </row>
    <row r="188" spans="6:6" ht="14.45" customHeight="1">
      <c r="F188" s="17"/>
    </row>
    <row r="189" spans="6:6" ht="14.45" customHeight="1">
      <c r="F189" s="17"/>
    </row>
    <row r="190" spans="6:6" ht="14.45" customHeight="1">
      <c r="F190" s="17"/>
    </row>
    <row r="191" spans="6:6" ht="14.45" customHeight="1">
      <c r="F191" s="17"/>
    </row>
    <row r="192" spans="6:6" ht="14.45" customHeight="1">
      <c r="F192" s="17"/>
    </row>
    <row r="193" spans="6:6" ht="14.45" customHeight="1">
      <c r="F193" s="17"/>
    </row>
    <row r="194" spans="6:6" ht="14.45" customHeight="1">
      <c r="F194" s="17"/>
    </row>
    <row r="195" spans="6:6" ht="14.45" customHeight="1">
      <c r="F195" s="17"/>
    </row>
    <row r="196" spans="6:6" ht="14.45" customHeight="1">
      <c r="F196" s="17"/>
    </row>
    <row r="197" spans="6:6" ht="14.45" customHeight="1">
      <c r="F197" s="17"/>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7"/>
  <sheetViews>
    <sheetView zoomScale="90" zoomScaleNormal="90" workbookViewId="0">
      <selection activeCell="A37" sqref="A37"/>
    </sheetView>
  </sheetViews>
  <sheetFormatPr defaultRowHeight="14.45" customHeight="1"/>
  <cols>
    <col min="1" max="1" width="45.140625" customWidth="1"/>
    <col min="2" max="2" width="15.85546875" customWidth="1"/>
    <col min="3" max="3" width="12.85546875" customWidth="1"/>
    <col min="4" max="4" width="12.5703125" customWidth="1"/>
    <col min="5" max="5" width="14.5703125" customWidth="1"/>
  </cols>
  <sheetData>
    <row r="1" spans="1:17" s="19" customFormat="1" ht="187.35" customHeight="1">
      <c r="A1" s="20" t="s">
        <v>149</v>
      </c>
      <c r="B1" s="21" t="s">
        <v>150</v>
      </c>
      <c r="C1" s="22" t="s">
        <v>151</v>
      </c>
      <c r="D1" s="23" t="s">
        <v>152</v>
      </c>
      <c r="E1" s="23" t="s">
        <v>153</v>
      </c>
      <c r="F1" s="23" t="s">
        <v>154</v>
      </c>
      <c r="G1" s="23" t="s">
        <v>155</v>
      </c>
      <c r="H1" s="23" t="s">
        <v>156</v>
      </c>
      <c r="I1" s="24" t="s">
        <v>157</v>
      </c>
      <c r="J1" s="24" t="s">
        <v>158</v>
      </c>
      <c r="K1" s="24" t="s">
        <v>159</v>
      </c>
      <c r="L1" s="24" t="s">
        <v>160</v>
      </c>
      <c r="M1" s="24" t="s">
        <v>161</v>
      </c>
      <c r="N1" s="24" t="s">
        <v>162</v>
      </c>
    </row>
    <row r="2" spans="1:17" ht="14.45" customHeight="1">
      <c r="A2" t="s">
        <v>163</v>
      </c>
      <c r="B2" s="25" t="s">
        <v>164</v>
      </c>
      <c r="C2" s="26">
        <v>44949.291666666657</v>
      </c>
      <c r="D2" s="26">
        <v>44949.583333333343</v>
      </c>
      <c r="E2" s="25"/>
      <c r="F2" s="26">
        <v>44950.333333333343</v>
      </c>
      <c r="G2" s="26">
        <v>44950.666666666657</v>
      </c>
      <c r="H2" s="26">
        <v>44951.25</v>
      </c>
      <c r="I2" s="27">
        <v>7</v>
      </c>
      <c r="J2" s="25" t="s">
        <v>165</v>
      </c>
      <c r="K2" s="25" t="e">
        <v>#VALUE!</v>
      </c>
      <c r="L2" s="27">
        <v>8</v>
      </c>
      <c r="M2" s="28">
        <v>14</v>
      </c>
      <c r="N2" s="27">
        <v>1.96</v>
      </c>
      <c r="O2" s="29"/>
      <c r="P2" s="29"/>
      <c r="Q2" s="29"/>
    </row>
    <row r="3" spans="1:17" ht="14.45" customHeight="1">
      <c r="A3" t="s">
        <v>166</v>
      </c>
      <c r="B3" s="25" t="s">
        <v>167</v>
      </c>
      <c r="C3" s="26">
        <v>45667.625</v>
      </c>
      <c r="D3" s="26">
        <v>45668.291666666657</v>
      </c>
      <c r="E3" s="25"/>
      <c r="F3" s="26">
        <v>45668.833333333343</v>
      </c>
      <c r="G3" s="26">
        <v>45670.625</v>
      </c>
      <c r="H3" s="26">
        <v>45671.458333333343</v>
      </c>
      <c r="I3" s="30">
        <v>16</v>
      </c>
      <c r="J3" s="25" t="s">
        <v>165</v>
      </c>
      <c r="K3" s="25" t="e">
        <v>#VALUE!</v>
      </c>
      <c r="L3" s="27">
        <v>9</v>
      </c>
      <c r="M3" s="31">
        <v>20</v>
      </c>
      <c r="N3" s="30">
        <v>1.81</v>
      </c>
      <c r="O3" s="29"/>
      <c r="P3" s="29"/>
      <c r="Q3" s="29"/>
    </row>
    <row r="4" spans="1:17" ht="14.45" customHeight="1">
      <c r="A4" t="s">
        <v>168</v>
      </c>
      <c r="B4" s="66" t="s">
        <v>169</v>
      </c>
      <c r="C4" s="26">
        <v>45651.291666666657</v>
      </c>
      <c r="D4" s="26">
        <v>45651.583333333343</v>
      </c>
      <c r="E4" s="25"/>
      <c r="F4" s="26">
        <v>45653.25</v>
      </c>
      <c r="G4" s="26">
        <v>45653.270833333343</v>
      </c>
      <c r="H4" s="26">
        <v>45638.284722222219</v>
      </c>
      <c r="I4" s="25">
        <v>7</v>
      </c>
      <c r="J4" s="25" t="s">
        <v>165</v>
      </c>
      <c r="K4" s="25" t="e">
        <v>#VALUE!</v>
      </c>
      <c r="L4" s="25">
        <v>0.5</v>
      </c>
      <c r="M4" s="25" t="e">
        <v>#VALUE!</v>
      </c>
      <c r="N4" s="25" t="e">
        <v>#VALUE!</v>
      </c>
      <c r="O4" s="29"/>
      <c r="P4" s="29"/>
      <c r="Q4" s="29"/>
    </row>
    <row r="5" spans="1:17" ht="14.45" customHeight="1">
      <c r="A5" t="s">
        <v>170</v>
      </c>
      <c r="B5" s="25" t="s">
        <v>164</v>
      </c>
      <c r="C5" s="26">
        <v>44949.291666666657</v>
      </c>
      <c r="D5" s="26">
        <v>44949.583333333343</v>
      </c>
      <c r="E5" s="25"/>
      <c r="F5" s="26">
        <v>44950.333333333343</v>
      </c>
      <c r="G5" s="26">
        <v>44950.666666666657</v>
      </c>
      <c r="H5" s="26">
        <v>44951.25</v>
      </c>
      <c r="I5" s="27">
        <v>7</v>
      </c>
      <c r="J5" s="25" t="s">
        <v>165</v>
      </c>
      <c r="K5" s="25" t="e">
        <v>#VALUE!</v>
      </c>
      <c r="L5" s="27">
        <v>8</v>
      </c>
      <c r="M5" s="28">
        <v>14</v>
      </c>
      <c r="N5" s="27">
        <v>1.96</v>
      </c>
      <c r="O5" s="29"/>
      <c r="P5" s="29"/>
      <c r="Q5" s="29"/>
    </row>
    <row r="6" spans="1:17" ht="14.45" customHeight="1">
      <c r="A6" t="s">
        <v>171</v>
      </c>
      <c r="B6" s="25" t="s">
        <v>167</v>
      </c>
      <c r="C6" s="26">
        <v>45667.625</v>
      </c>
      <c r="D6" s="26">
        <v>45668.291666666657</v>
      </c>
      <c r="E6" s="25"/>
      <c r="F6" s="26">
        <v>45668.833333333343</v>
      </c>
      <c r="G6" s="26">
        <v>45670.625</v>
      </c>
      <c r="H6" s="26">
        <v>45671.458333333343</v>
      </c>
      <c r="I6" s="30">
        <v>16</v>
      </c>
      <c r="J6" s="25" t="s">
        <v>165</v>
      </c>
      <c r="K6" s="25" t="e">
        <v>#VALUE!</v>
      </c>
      <c r="L6" s="27">
        <v>9</v>
      </c>
      <c r="M6" s="31">
        <v>20</v>
      </c>
      <c r="N6" s="30">
        <v>1.81</v>
      </c>
      <c r="O6" s="29"/>
      <c r="P6" s="29"/>
      <c r="Q6" s="29"/>
    </row>
    <row r="7" spans="1:17" ht="14.45" customHeight="1">
      <c r="A7" t="s">
        <v>172</v>
      </c>
      <c r="B7" s="66" t="s">
        <v>169</v>
      </c>
      <c r="C7" s="26">
        <v>45651.291666666657</v>
      </c>
      <c r="D7" s="26">
        <v>45651.583333333343</v>
      </c>
      <c r="E7" s="25"/>
      <c r="F7" s="26">
        <v>45653.25</v>
      </c>
      <c r="G7" s="26">
        <v>45653.270833333343</v>
      </c>
      <c r="H7" s="26">
        <v>45638.284722222219</v>
      </c>
      <c r="I7" s="25">
        <v>7</v>
      </c>
      <c r="J7" s="25" t="s">
        <v>165</v>
      </c>
      <c r="K7" s="25" t="e">
        <v>#VALUE!</v>
      </c>
      <c r="L7" s="25">
        <v>0.5</v>
      </c>
      <c r="M7" s="25" t="e">
        <v>#VALUE!</v>
      </c>
      <c r="N7" s="25" t="e">
        <v>#VALUE!</v>
      </c>
      <c r="O7" s="29"/>
      <c r="P7" s="29"/>
      <c r="Q7" s="29"/>
    </row>
    <row r="8" spans="1:17" ht="14.45" customHeight="1">
      <c r="A8" t="s">
        <v>173</v>
      </c>
      <c r="B8" s="25" t="s">
        <v>174</v>
      </c>
      <c r="C8" s="32">
        <v>45724.375</v>
      </c>
      <c r="D8" s="33">
        <v>45727.500694444447</v>
      </c>
      <c r="E8" s="34">
        <v>45728.77847222222</v>
      </c>
      <c r="F8" s="33">
        <v>45728.77847222222</v>
      </c>
      <c r="G8" s="33">
        <v>45728.920138888891</v>
      </c>
      <c r="H8" s="32">
        <v>45729.333333333343</v>
      </c>
      <c r="I8" s="25">
        <v>30</v>
      </c>
      <c r="J8" s="25">
        <v>30.7</v>
      </c>
      <c r="K8" s="25">
        <v>0</v>
      </c>
      <c r="L8" s="25">
        <v>3.4</v>
      </c>
      <c r="M8" s="25">
        <v>9.91</v>
      </c>
      <c r="N8" s="25">
        <v>3</v>
      </c>
      <c r="O8" s="29"/>
      <c r="P8" s="29"/>
      <c r="Q8" s="29"/>
    </row>
    <row r="9" spans="1:17" ht="14.45" customHeight="1">
      <c r="A9" t="s">
        <v>175</v>
      </c>
      <c r="B9" s="35" t="s">
        <v>176</v>
      </c>
      <c r="C9" s="32">
        <v>45720.375</v>
      </c>
      <c r="D9" s="33">
        <v>45722.32708333333</v>
      </c>
      <c r="E9" s="34">
        <v>45723.40902777778</v>
      </c>
      <c r="F9" s="33">
        <v>45723.40902777778</v>
      </c>
      <c r="G9" s="33">
        <v>45723.638888888891</v>
      </c>
      <c r="H9" s="32">
        <v>45723.833333333343</v>
      </c>
      <c r="I9" s="25">
        <v>46.9</v>
      </c>
      <c r="J9" s="25">
        <v>26</v>
      </c>
      <c r="K9" s="25">
        <v>0</v>
      </c>
      <c r="L9" s="25">
        <v>5.5</v>
      </c>
      <c r="M9" s="25">
        <v>4.66</v>
      </c>
      <c r="N9" s="25">
        <v>3</v>
      </c>
      <c r="O9" s="29"/>
      <c r="P9" s="29"/>
      <c r="Q9" s="29"/>
    </row>
    <row r="10" spans="1:17" ht="14.45" customHeight="1">
      <c r="A10" t="s">
        <v>177</v>
      </c>
      <c r="B10" s="35" t="s">
        <v>178</v>
      </c>
      <c r="C10" s="32">
        <v>45727.375</v>
      </c>
      <c r="D10" s="33">
        <v>45728.885416666657</v>
      </c>
      <c r="E10" s="34">
        <v>45728.952777777777</v>
      </c>
      <c r="F10" s="33">
        <v>45728.952777777777</v>
      </c>
      <c r="G10" s="33">
        <v>45729.040277777778</v>
      </c>
      <c r="H10" s="32">
        <v>45729.333333333343</v>
      </c>
      <c r="I10" s="25">
        <v>36.299999999999997</v>
      </c>
      <c r="J10" s="25">
        <v>1.6</v>
      </c>
      <c r="K10" s="25">
        <v>0</v>
      </c>
      <c r="L10" s="25">
        <v>2.1</v>
      </c>
      <c r="M10" s="25">
        <v>7.02</v>
      </c>
      <c r="N10" s="25">
        <v>2</v>
      </c>
      <c r="O10" s="29"/>
      <c r="P10" s="29"/>
      <c r="Q10" s="29"/>
    </row>
    <row r="11" spans="1:17" ht="14.45" customHeight="1">
      <c r="A11" t="s">
        <v>179</v>
      </c>
      <c r="B11" s="25" t="s">
        <v>180</v>
      </c>
      <c r="C11" s="32">
        <v>45727.375</v>
      </c>
      <c r="D11" s="33">
        <v>45727.462500000001</v>
      </c>
      <c r="E11" s="34">
        <v>45728.425000000003</v>
      </c>
      <c r="F11" s="33">
        <v>45728.425000000003</v>
      </c>
      <c r="G11" s="33">
        <v>45728.92083333333</v>
      </c>
      <c r="H11" s="32">
        <v>45729.333333333343</v>
      </c>
      <c r="I11" s="25">
        <v>2.1</v>
      </c>
      <c r="J11" s="25">
        <v>23.1</v>
      </c>
      <c r="K11" s="25">
        <v>0</v>
      </c>
      <c r="L11" s="25">
        <v>11.9</v>
      </c>
      <c r="M11" s="25">
        <v>9.9</v>
      </c>
      <c r="N11" s="25">
        <v>2</v>
      </c>
      <c r="O11" s="29"/>
      <c r="P11" s="29"/>
      <c r="Q11" s="29"/>
    </row>
    <row r="12" spans="1:17" ht="14.45" customHeight="1">
      <c r="A12" t="s">
        <v>181</v>
      </c>
      <c r="B12" s="35" t="s">
        <v>182</v>
      </c>
      <c r="C12" s="32">
        <v>45733.375</v>
      </c>
      <c r="D12" s="33">
        <v>45733.393055555563</v>
      </c>
      <c r="E12" s="34">
        <v>45735.586805555547</v>
      </c>
      <c r="F12" s="33">
        <v>45735.711805555547</v>
      </c>
      <c r="G12" s="33">
        <v>45736.345138888893</v>
      </c>
      <c r="H12" s="32">
        <v>45736.833333333343</v>
      </c>
      <c r="I12" s="25">
        <v>0.4</v>
      </c>
      <c r="J12" s="25">
        <v>52.6</v>
      </c>
      <c r="K12" s="25">
        <v>3</v>
      </c>
      <c r="L12" s="25">
        <v>15.2</v>
      </c>
      <c r="M12" s="25">
        <v>11.71</v>
      </c>
      <c r="N12" s="25">
        <v>3</v>
      </c>
      <c r="O12" s="29"/>
      <c r="P12" s="29"/>
      <c r="Q12" s="29"/>
    </row>
    <row r="13" spans="1:17" ht="14.45" customHeight="1">
      <c r="A13" t="s">
        <v>183</v>
      </c>
      <c r="B13" s="25" t="s">
        <v>184</v>
      </c>
      <c r="C13" s="32">
        <v>45733.375</v>
      </c>
      <c r="D13" s="33">
        <v>45734.328472222223</v>
      </c>
      <c r="E13" s="34">
        <v>45734.832638888889</v>
      </c>
      <c r="F13" s="34">
        <v>45734.832638888889</v>
      </c>
      <c r="G13" s="33">
        <v>45735.749305555553</v>
      </c>
      <c r="H13" s="32">
        <v>45736.333333333343</v>
      </c>
      <c r="I13" s="25">
        <v>22.9</v>
      </c>
      <c r="J13" s="25">
        <v>12.1</v>
      </c>
      <c r="K13" s="25">
        <v>0</v>
      </c>
      <c r="L13" s="25">
        <v>22</v>
      </c>
      <c r="M13" s="25">
        <v>14.01</v>
      </c>
      <c r="N13" s="25">
        <v>3</v>
      </c>
      <c r="O13" s="29"/>
      <c r="P13" s="29"/>
      <c r="Q13" s="29"/>
    </row>
    <row r="14" spans="1:17" ht="14.45" customHeight="1">
      <c r="A14" t="s">
        <v>185</v>
      </c>
      <c r="B14" s="25" t="s">
        <v>186</v>
      </c>
      <c r="C14" s="32">
        <v>45733.375</v>
      </c>
      <c r="D14" s="33">
        <v>45734.328472222223</v>
      </c>
      <c r="E14" s="34">
        <v>45734.832638888889</v>
      </c>
      <c r="F14" s="33">
        <v>45734.832638888889</v>
      </c>
      <c r="G14" s="33">
        <v>45735.749305555553</v>
      </c>
      <c r="H14" s="32">
        <v>45736.333333333343</v>
      </c>
      <c r="I14" s="25">
        <v>22.9</v>
      </c>
      <c r="J14" s="25">
        <v>12.1</v>
      </c>
      <c r="K14" s="25">
        <v>0</v>
      </c>
      <c r="L14" s="25">
        <v>22</v>
      </c>
      <c r="M14" s="25">
        <v>14.01</v>
      </c>
      <c r="N14" s="25">
        <v>3</v>
      </c>
      <c r="O14" s="29"/>
      <c r="P14" s="29"/>
      <c r="Q14" s="29"/>
    </row>
    <row r="15" spans="1:17" ht="14.45" customHeight="1">
      <c r="A15" t="s">
        <v>187</v>
      </c>
      <c r="B15" s="36" t="s">
        <v>188</v>
      </c>
      <c r="C15" s="37">
        <v>45725.349305555559</v>
      </c>
      <c r="D15" s="38">
        <v>45725.416666666657</v>
      </c>
      <c r="E15" s="39">
        <v>45726.916666666657</v>
      </c>
      <c r="F15" s="38">
        <v>45726.916666666657</v>
      </c>
      <c r="G15" s="38">
        <v>45726.951388888891</v>
      </c>
      <c r="H15" s="37">
        <v>45727.347222222219</v>
      </c>
      <c r="I15" s="36" t="e">
        <v>#VALUE!</v>
      </c>
      <c r="J15" s="36" t="e">
        <v>#VALUE!</v>
      </c>
      <c r="K15" s="36">
        <v>0</v>
      </c>
      <c r="L15" s="36">
        <v>0.8</v>
      </c>
      <c r="M15" s="36">
        <v>9.5</v>
      </c>
      <c r="N15" s="36">
        <v>0</v>
      </c>
      <c r="O15" s="40"/>
      <c r="P15" s="40"/>
      <c r="Q15" s="40"/>
    </row>
    <row r="16" spans="1:17" ht="14.45" customHeight="1">
      <c r="A16" t="s">
        <v>189</v>
      </c>
      <c r="B16" s="41" t="s">
        <v>190</v>
      </c>
      <c r="C16" s="32">
        <v>45743.375</v>
      </c>
      <c r="D16" s="33">
        <v>45743.613888888889</v>
      </c>
      <c r="E16" s="34">
        <v>45747.026388888888</v>
      </c>
      <c r="F16" s="33">
        <v>45747.026388888888</v>
      </c>
      <c r="G16" s="33">
        <v>45747.275000000001</v>
      </c>
      <c r="H16" s="32">
        <v>45747.333333333343</v>
      </c>
      <c r="I16" s="25">
        <v>5.7</v>
      </c>
      <c r="J16" s="25">
        <v>33.4</v>
      </c>
      <c r="K16" s="25">
        <v>0</v>
      </c>
      <c r="L16" s="25">
        <v>6</v>
      </c>
      <c r="M16" s="25">
        <v>1.4</v>
      </c>
      <c r="N16" s="25">
        <v>2</v>
      </c>
    </row>
    <row r="17" spans="1:14" ht="14.45" customHeight="1">
      <c r="A17" t="s">
        <v>191</v>
      </c>
      <c r="B17" s="42" t="s">
        <v>192</v>
      </c>
      <c r="C17" s="32">
        <v>45744.375</v>
      </c>
      <c r="D17" s="33">
        <v>45747.070833333331</v>
      </c>
      <c r="E17" s="34">
        <v>45747.279166666667</v>
      </c>
      <c r="F17" s="33">
        <v>45747.279166666667</v>
      </c>
      <c r="G17" s="33">
        <v>45747.280555555553</v>
      </c>
      <c r="H17" s="32">
        <v>45747.333333333343</v>
      </c>
      <c r="I17" s="25">
        <v>16.2</v>
      </c>
      <c r="J17" s="25">
        <v>5</v>
      </c>
      <c r="K17" s="25">
        <v>0</v>
      </c>
      <c r="L17" s="25">
        <v>0</v>
      </c>
      <c r="M17" s="25">
        <v>1.26</v>
      </c>
      <c r="N17" s="25">
        <v>1</v>
      </c>
    </row>
    <row r="18" spans="1:14" ht="14.45" customHeight="1">
      <c r="A18" t="s">
        <v>193</v>
      </c>
      <c r="B18" s="42" t="s">
        <v>194</v>
      </c>
      <c r="C18" s="32">
        <v>45742.375</v>
      </c>
      <c r="D18" s="33">
        <v>45743.80972222222</v>
      </c>
      <c r="E18" s="34">
        <v>45747.223611111112</v>
      </c>
      <c r="F18" s="33">
        <v>45747.223611111112</v>
      </c>
      <c r="G18" s="33">
        <v>45747.229166666657</v>
      </c>
      <c r="H18" s="32">
        <v>45747.333333333343</v>
      </c>
      <c r="I18" s="25">
        <v>34.4</v>
      </c>
      <c r="J18" s="25">
        <v>33.4</v>
      </c>
      <c r="K18" s="25">
        <v>0</v>
      </c>
      <c r="L18" s="25">
        <v>0.1</v>
      </c>
      <c r="M18" s="25">
        <v>2.4900000000000002</v>
      </c>
      <c r="N18" s="25">
        <v>3</v>
      </c>
    </row>
    <row r="19" spans="1:14" ht="14.45" customHeight="1">
      <c r="A19" t="s">
        <v>195</v>
      </c>
      <c r="B19" s="42" t="s">
        <v>196</v>
      </c>
      <c r="C19" s="32">
        <v>45742.375</v>
      </c>
      <c r="D19" s="33">
        <v>45747.084027777782</v>
      </c>
      <c r="E19" s="34">
        <v>45747.205555555563</v>
      </c>
      <c r="F19" s="33">
        <v>45747.205555555563</v>
      </c>
      <c r="G19" s="33">
        <v>45747.220833333333</v>
      </c>
      <c r="H19" s="32">
        <v>45747.333333333343</v>
      </c>
      <c r="I19" s="25">
        <v>64.5</v>
      </c>
      <c r="J19" s="25">
        <v>2.9</v>
      </c>
      <c r="K19" s="25">
        <v>0</v>
      </c>
      <c r="L19" s="25">
        <v>0.4</v>
      </c>
      <c r="M19" s="25">
        <v>2.69</v>
      </c>
      <c r="N19" s="25">
        <v>3</v>
      </c>
    </row>
    <row r="20" spans="1:14" ht="14.45" customHeight="1">
      <c r="A20" t="s">
        <v>197</v>
      </c>
      <c r="B20" s="42" t="s">
        <v>198</v>
      </c>
      <c r="C20" s="32">
        <v>45739.375</v>
      </c>
      <c r="D20" s="33">
        <v>45743.714583333327</v>
      </c>
      <c r="E20" s="34">
        <v>45747.318055555559</v>
      </c>
      <c r="F20" s="33">
        <v>45747.318055555559</v>
      </c>
      <c r="G20" s="33">
        <v>45747.322916666657</v>
      </c>
      <c r="H20" s="32">
        <v>45747.333333333343</v>
      </c>
      <c r="I20" s="25">
        <v>83.2</v>
      </c>
      <c r="J20" s="25">
        <v>38</v>
      </c>
      <c r="K20" s="25">
        <v>0</v>
      </c>
      <c r="L20" s="25">
        <v>0.1</v>
      </c>
      <c r="M20" s="25">
        <v>0.25</v>
      </c>
      <c r="N20" s="25">
        <v>4</v>
      </c>
    </row>
    <row r="21" spans="1:14" ht="14.45" customHeight="1">
      <c r="A21" t="s">
        <v>199</v>
      </c>
      <c r="B21" s="43" t="s">
        <v>200</v>
      </c>
      <c r="C21" s="32">
        <v>45744.375</v>
      </c>
      <c r="D21" s="33">
        <v>45745.48333333333</v>
      </c>
      <c r="E21" s="34">
        <v>45746.87777777778</v>
      </c>
      <c r="F21" s="33">
        <v>45746.87777777778</v>
      </c>
      <c r="G21" s="33">
        <v>45747.319444444453</v>
      </c>
      <c r="H21" s="32">
        <v>45747.333333333343</v>
      </c>
      <c r="I21" s="25">
        <v>26.6</v>
      </c>
      <c r="J21" s="25" t="e">
        <v>#VALUE!</v>
      </c>
      <c r="K21" s="25" t="e">
        <v>#VALUE!</v>
      </c>
      <c r="L21" s="25">
        <v>1.7</v>
      </c>
      <c r="M21" s="25">
        <v>0.33</v>
      </c>
      <c r="N21" s="25">
        <v>1</v>
      </c>
    </row>
    <row r="22" spans="1:14" ht="14.45" customHeight="1">
      <c r="A22" t="s">
        <v>201</v>
      </c>
      <c r="B22" s="44" t="s">
        <v>202</v>
      </c>
      <c r="C22" s="32">
        <v>45744.375</v>
      </c>
      <c r="D22" s="33">
        <v>45744.656944444447</v>
      </c>
      <c r="E22" s="34">
        <v>45745.750694444447</v>
      </c>
      <c r="F22" s="34">
        <v>45745.750694444447</v>
      </c>
      <c r="G22" s="33">
        <v>45747.164583333331</v>
      </c>
      <c r="H22" s="32">
        <v>45747.333333333343</v>
      </c>
      <c r="I22" s="25">
        <v>6.8</v>
      </c>
      <c r="J22" s="25">
        <v>26.2</v>
      </c>
      <c r="K22" s="25" t="e">
        <v>#VALUE!</v>
      </c>
      <c r="L22" s="25">
        <v>-2</v>
      </c>
      <c r="M22" s="25">
        <v>4.05</v>
      </c>
      <c r="N22" s="25">
        <v>1</v>
      </c>
    </row>
    <row r="23" spans="1:14" ht="14.45" customHeight="1">
      <c r="A23" t="s">
        <v>203</v>
      </c>
      <c r="B23" s="45" t="s">
        <v>204</v>
      </c>
      <c r="C23" s="32">
        <v>45744.375</v>
      </c>
      <c r="D23" s="33">
        <v>45744.987500000003</v>
      </c>
      <c r="E23" s="34">
        <v>45746.854861111111</v>
      </c>
      <c r="F23" s="33">
        <v>45746.854861111111</v>
      </c>
      <c r="G23" s="33">
        <v>45747.231249999997</v>
      </c>
      <c r="H23" s="32">
        <v>45747.333333333343</v>
      </c>
      <c r="I23" s="25">
        <v>14.7</v>
      </c>
      <c r="J23" s="25" t="e">
        <v>#VALUE!</v>
      </c>
      <c r="K23" s="25" t="e">
        <v>#VALUE!</v>
      </c>
      <c r="L23" s="25">
        <v>-0.4</v>
      </c>
      <c r="M23" s="25">
        <v>2.44</v>
      </c>
      <c r="N23" s="25">
        <v>1</v>
      </c>
    </row>
    <row r="24" spans="1:14" ht="14.45" customHeight="1">
      <c r="A24" t="s">
        <v>205</v>
      </c>
      <c r="B24" s="45" t="s">
        <v>206</v>
      </c>
      <c r="C24" s="32">
        <v>45742.375</v>
      </c>
      <c r="D24" s="33">
        <v>45743.132638888892</v>
      </c>
      <c r="E24" s="34">
        <v>45744.306944444441</v>
      </c>
      <c r="F24" s="34">
        <v>45744.306944444441</v>
      </c>
      <c r="G24" s="33">
        <v>45747.227083333331</v>
      </c>
      <c r="H24" s="32">
        <v>45747.333333333343</v>
      </c>
      <c r="I24" s="25">
        <v>18.2</v>
      </c>
      <c r="J24" s="25">
        <v>28.2</v>
      </c>
      <c r="K24" s="25">
        <v>0</v>
      </c>
      <c r="L24" s="25">
        <v>21.6</v>
      </c>
      <c r="M24" s="25">
        <v>2.5499999999999998</v>
      </c>
      <c r="N24" s="25">
        <v>3</v>
      </c>
    </row>
    <row r="25" spans="1:14" ht="14.45" customHeight="1">
      <c r="A25" t="s">
        <v>207</v>
      </c>
      <c r="B25" s="45" t="s">
        <v>208</v>
      </c>
      <c r="C25" s="32">
        <v>45740.375</v>
      </c>
      <c r="D25" s="33">
        <v>45742.762499999997</v>
      </c>
      <c r="E25" s="34">
        <v>45747.249305555553</v>
      </c>
      <c r="F25" s="33">
        <v>45747.249305555553</v>
      </c>
      <c r="G25" s="33">
        <v>45747.300694444442</v>
      </c>
      <c r="H25" s="32">
        <v>45747.333333333343</v>
      </c>
      <c r="I25" s="25">
        <v>57.3</v>
      </c>
      <c r="J25" s="25">
        <v>59.2</v>
      </c>
      <c r="K25" s="25">
        <v>0</v>
      </c>
      <c r="L25" s="25">
        <v>1.2</v>
      </c>
      <c r="M25" s="25">
        <v>0.77</v>
      </c>
      <c r="N25" s="25">
        <v>5</v>
      </c>
    </row>
    <row r="26" spans="1:14" ht="14.45" customHeight="1">
      <c r="A26" t="s">
        <v>209</v>
      </c>
      <c r="B26" s="25" t="s">
        <v>210</v>
      </c>
      <c r="C26" s="26">
        <v>45723.375</v>
      </c>
      <c r="D26" s="26">
        <v>45723.75</v>
      </c>
      <c r="E26" s="29"/>
      <c r="F26" s="26">
        <v>45725.458333333343</v>
      </c>
      <c r="G26" s="26">
        <v>45726.958333333343</v>
      </c>
      <c r="H26" s="26">
        <v>45727.333333333343</v>
      </c>
      <c r="I26" s="25">
        <v>9</v>
      </c>
      <c r="J26" s="25" t="s">
        <v>165</v>
      </c>
      <c r="K26" s="25" t="e">
        <v>#VALUE!</v>
      </c>
      <c r="L26" s="25">
        <v>17</v>
      </c>
      <c r="M26" s="25">
        <v>9</v>
      </c>
      <c r="N26" s="25">
        <v>2</v>
      </c>
    </row>
    <row r="27" spans="1:14" ht="14.45" customHeight="1">
      <c r="A27" t="s">
        <v>211</v>
      </c>
      <c r="B27" s="35" t="s">
        <v>212</v>
      </c>
      <c r="C27" s="26">
        <v>45723.34375</v>
      </c>
      <c r="D27" s="26">
        <v>45723.78125</v>
      </c>
      <c r="E27" s="29"/>
      <c r="F27" s="26">
        <v>45725.493055555547</v>
      </c>
      <c r="G27" s="26">
        <v>45726.974305555559</v>
      </c>
      <c r="H27" s="26">
        <v>45727.347222222219</v>
      </c>
      <c r="I27" s="25">
        <v>10.5</v>
      </c>
      <c r="J27" s="25" t="s">
        <v>165</v>
      </c>
      <c r="K27" s="25" t="e">
        <v>#VALUE!</v>
      </c>
      <c r="L27" s="25">
        <v>17.399999999999999</v>
      </c>
      <c r="M27" s="25">
        <v>8.9499999999999993</v>
      </c>
      <c r="N27" s="25">
        <v>2</v>
      </c>
    </row>
    <row r="28" spans="1:14" ht="14.45" customHeight="1">
      <c r="A28" t="s">
        <v>213</v>
      </c>
      <c r="B28" s="35" t="s">
        <v>214</v>
      </c>
      <c r="C28" s="46">
        <v>45720.385416666657</v>
      </c>
      <c r="D28" s="46">
        <v>45720.78125</v>
      </c>
      <c r="E28" s="47"/>
      <c r="F28" s="46">
        <v>45721.451388888891</v>
      </c>
      <c r="G28" s="46">
        <v>45723.974305555559</v>
      </c>
      <c r="H28" s="46">
        <v>45724.347222222219</v>
      </c>
      <c r="I28" s="25">
        <v>9.5</v>
      </c>
      <c r="J28" s="25" t="s">
        <v>165</v>
      </c>
      <c r="K28" s="25" t="e">
        <v>#VALUE!</v>
      </c>
      <c r="L28" s="25">
        <v>60.6</v>
      </c>
      <c r="M28" s="25">
        <v>8.9499999999999993</v>
      </c>
      <c r="N28" s="25">
        <v>4</v>
      </c>
    </row>
    <row r="29" spans="1:14" ht="14.45" customHeight="1">
      <c r="A29" t="s">
        <v>215</v>
      </c>
      <c r="B29" s="25" t="s">
        <v>216</v>
      </c>
      <c r="C29" s="26">
        <v>45723.375</v>
      </c>
      <c r="D29" s="26">
        <v>45723.75</v>
      </c>
      <c r="E29" s="29"/>
      <c r="F29" s="26">
        <v>45725.458333333343</v>
      </c>
      <c r="G29" s="26">
        <v>45726.958333333343</v>
      </c>
      <c r="H29" s="26">
        <v>45728.333333333343</v>
      </c>
      <c r="I29" s="25">
        <v>9</v>
      </c>
      <c r="J29" s="25" t="s">
        <v>165</v>
      </c>
      <c r="K29" s="25" t="e">
        <v>#VALUE!</v>
      </c>
      <c r="L29" s="25">
        <v>17</v>
      </c>
      <c r="M29" s="25">
        <v>33</v>
      </c>
      <c r="N29" s="25">
        <v>3</v>
      </c>
    </row>
    <row r="30" spans="1:14" ht="14.45" customHeight="1">
      <c r="A30" t="s">
        <v>217</v>
      </c>
      <c r="B30" s="43" t="s">
        <v>218</v>
      </c>
      <c r="C30" s="32">
        <v>45758.375</v>
      </c>
      <c r="D30" s="33">
        <v>45758.917361111111</v>
      </c>
      <c r="E30" s="34">
        <v>45762.019444444442</v>
      </c>
      <c r="F30" s="33">
        <v>45762.019444444442</v>
      </c>
      <c r="G30" s="33">
        <v>45762.302083333343</v>
      </c>
      <c r="H30" s="32">
        <v>45762.333333333343</v>
      </c>
      <c r="I30" s="25">
        <v>13</v>
      </c>
      <c r="J30" s="25">
        <v>26</v>
      </c>
      <c r="K30" s="25">
        <v>0</v>
      </c>
      <c r="L30" s="25">
        <v>6.8</v>
      </c>
      <c r="M30" s="25">
        <v>0.75</v>
      </c>
      <c r="N30" s="25">
        <v>2</v>
      </c>
    </row>
    <row r="31" spans="1:14" ht="14.45" customHeight="1">
      <c r="A31" t="s">
        <v>219</v>
      </c>
      <c r="B31" s="48" t="s">
        <v>220</v>
      </c>
      <c r="C31" s="32">
        <v>45761.375</v>
      </c>
      <c r="D31" s="33">
        <v>45761.705555555563</v>
      </c>
      <c r="E31" s="34">
        <v>45761.89166666667</v>
      </c>
      <c r="F31" s="33">
        <v>45761.89166666667</v>
      </c>
      <c r="G31" s="33">
        <v>45762.106944444437</v>
      </c>
      <c r="H31" s="32">
        <v>45762.333333333343</v>
      </c>
      <c r="I31" s="25">
        <v>7.9</v>
      </c>
      <c r="J31" s="25">
        <v>4.5</v>
      </c>
      <c r="K31" s="25">
        <v>0</v>
      </c>
      <c r="L31" s="25">
        <v>5.2</v>
      </c>
      <c r="M31" s="25">
        <v>5.43</v>
      </c>
      <c r="N31" s="25">
        <v>1</v>
      </c>
    </row>
    <row r="32" spans="1:14" ht="14.45" customHeight="1">
      <c r="A32" t="s">
        <v>221</v>
      </c>
      <c r="B32" s="43" t="s">
        <v>222</v>
      </c>
      <c r="C32" s="32">
        <v>45756.375</v>
      </c>
      <c r="D32" s="33">
        <v>45756.425694444442</v>
      </c>
      <c r="E32" s="49">
        <v>45756.515972222223</v>
      </c>
      <c r="F32" s="50">
        <v>45762.319444444453</v>
      </c>
      <c r="G32" s="33">
        <v>45762.481249999997</v>
      </c>
      <c r="H32" s="32">
        <v>45762.833333333343</v>
      </c>
      <c r="I32" s="25">
        <v>1.2</v>
      </c>
      <c r="J32" s="25">
        <v>2.2000000000000002</v>
      </c>
      <c r="K32" s="25">
        <v>90.8</v>
      </c>
      <c r="L32" s="25">
        <v>3.9</v>
      </c>
      <c r="M32" s="25">
        <v>8.4499999999999993</v>
      </c>
      <c r="N32" s="25">
        <v>4</v>
      </c>
    </row>
    <row r="33" spans="1:14" ht="14.45" customHeight="1">
      <c r="A33" t="s">
        <v>223</v>
      </c>
      <c r="B33" s="48" t="s">
        <v>224</v>
      </c>
      <c r="C33" s="32">
        <v>45755.375</v>
      </c>
      <c r="D33" s="33">
        <v>45755.79791666667</v>
      </c>
      <c r="E33" s="34">
        <v>45756.152083333327</v>
      </c>
      <c r="F33" s="33">
        <v>45756.152083333327</v>
      </c>
      <c r="G33" s="33">
        <v>45761.484027777777</v>
      </c>
      <c r="H33" s="32">
        <v>45762.708333333343</v>
      </c>
      <c r="I33" s="25">
        <v>10.199999999999999</v>
      </c>
      <c r="J33" s="25">
        <v>8.5</v>
      </c>
      <c r="K33" s="25">
        <v>0</v>
      </c>
      <c r="L33" s="25">
        <v>79.5</v>
      </c>
      <c r="M33" s="25">
        <v>29.37</v>
      </c>
      <c r="N33" s="25">
        <v>5</v>
      </c>
    </row>
    <row r="34" spans="1:14" ht="14.45" customHeight="1">
      <c r="A34" t="s">
        <v>225</v>
      </c>
      <c r="B34" s="51" t="s">
        <v>226</v>
      </c>
      <c r="C34" s="32">
        <v>45758.375</v>
      </c>
      <c r="D34" s="33">
        <v>45760.223611111112</v>
      </c>
      <c r="E34" s="34">
        <v>45761.636805555558</v>
      </c>
      <c r="F34" s="33">
        <v>45761.636805555558</v>
      </c>
      <c r="G34" s="33">
        <v>45761.833333333343</v>
      </c>
      <c r="H34" s="32">
        <v>45762.333333333343</v>
      </c>
      <c r="I34" s="52">
        <v>-4.0999999999999996</v>
      </c>
      <c r="J34" s="52" t="e">
        <v>#VALUE!</v>
      </c>
      <c r="K34" s="53">
        <v>0</v>
      </c>
      <c r="L34" s="53">
        <v>4.7</v>
      </c>
      <c r="M34" s="53">
        <v>11.99</v>
      </c>
      <c r="N34" s="53">
        <v>2</v>
      </c>
    </row>
    <row r="35" spans="1:14" ht="14.45" customHeight="1">
      <c r="A35" t="s">
        <v>227</v>
      </c>
      <c r="B35" s="51" t="s">
        <v>228</v>
      </c>
      <c r="C35" s="32">
        <v>45755.375</v>
      </c>
      <c r="D35" s="33">
        <v>45756.00277777778</v>
      </c>
      <c r="E35" s="34">
        <v>45762.375694444447</v>
      </c>
      <c r="F35" s="33">
        <v>45762.375694444447</v>
      </c>
      <c r="G35" s="33">
        <v>45762.742361111108</v>
      </c>
      <c r="H35" s="32">
        <v>45762.75</v>
      </c>
      <c r="I35" s="25">
        <v>15.1</v>
      </c>
      <c r="J35" s="25">
        <v>104.5</v>
      </c>
      <c r="K35" s="25">
        <v>0</v>
      </c>
      <c r="L35" s="25">
        <v>8.8000000000000007</v>
      </c>
      <c r="M35" s="25">
        <v>0.17</v>
      </c>
      <c r="N35" s="25">
        <v>5</v>
      </c>
    </row>
    <row r="36" spans="1:14" ht="14.45" customHeight="1">
      <c r="A36" t="s">
        <v>229</v>
      </c>
      <c r="B36" s="43" t="s">
        <v>230</v>
      </c>
      <c r="C36" s="32">
        <v>45754.375</v>
      </c>
      <c r="D36" s="33">
        <v>45755.161805555559</v>
      </c>
      <c r="E36" s="34">
        <v>45755.711111111108</v>
      </c>
      <c r="F36" s="34">
        <v>45755.711111111108</v>
      </c>
      <c r="G36" s="33">
        <v>45756.17291666667</v>
      </c>
      <c r="H36" s="32">
        <v>45756.333333333343</v>
      </c>
      <c r="I36" s="25">
        <v>18.899999999999999</v>
      </c>
      <c r="J36" s="25">
        <v>13.2</v>
      </c>
      <c r="K36" s="25">
        <v>0</v>
      </c>
      <c r="L36" s="25">
        <v>11.1</v>
      </c>
      <c r="M36" s="25">
        <v>3.84</v>
      </c>
      <c r="N36" s="25">
        <v>2</v>
      </c>
    </row>
    <row r="37" spans="1:14" ht="14.45" customHeight="1">
      <c r="A37" t="s">
        <v>231</v>
      </c>
      <c r="B37" s="45" t="s">
        <v>232</v>
      </c>
      <c r="C37" s="32">
        <v>45754.375</v>
      </c>
      <c r="D37" s="33">
        <v>45754.892361111109</v>
      </c>
      <c r="E37" s="34">
        <v>45755.414583333331</v>
      </c>
      <c r="F37" s="33">
        <v>45755.414583333331</v>
      </c>
      <c r="G37" s="33">
        <v>45755.802777777782</v>
      </c>
      <c r="H37" s="32">
        <v>45756.333333333343</v>
      </c>
      <c r="I37" s="25">
        <v>12.4</v>
      </c>
      <c r="J37" s="25">
        <v>12.5</v>
      </c>
      <c r="K37" s="25">
        <v>0</v>
      </c>
      <c r="L37" s="25">
        <v>9.3000000000000007</v>
      </c>
      <c r="M37" s="25">
        <v>12.72</v>
      </c>
      <c r="N37" s="25">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topLeftCell="A2" zoomScaleNormal="100" workbookViewId="0">
      <selection activeCell="B2" sqref="B2"/>
    </sheetView>
  </sheetViews>
  <sheetFormatPr defaultRowHeight="14.45" customHeight="1"/>
  <cols>
    <col min="1" max="1" width="38.85546875" customWidth="1"/>
    <col min="2" max="2" width="27.5703125" bestFit="1" customWidth="1"/>
    <col min="3" max="3" width="17" customWidth="1"/>
    <col min="4" max="4" width="23.140625" customWidth="1"/>
    <col min="5" max="5" width="33.5703125" customWidth="1"/>
    <col min="6" max="6" width="29.42578125" customWidth="1"/>
    <col min="7" max="7" width="34.5703125" customWidth="1"/>
  </cols>
  <sheetData>
    <row r="1" spans="1:7" ht="14.45" customHeight="1">
      <c r="A1" s="2" t="s">
        <v>0</v>
      </c>
      <c r="B1" s="2" t="s">
        <v>1</v>
      </c>
      <c r="C1" s="2" t="s">
        <v>2</v>
      </c>
      <c r="D1" s="2" t="s">
        <v>3</v>
      </c>
      <c r="E1" s="2" t="s">
        <v>4</v>
      </c>
      <c r="F1" s="3" t="s">
        <v>5</v>
      </c>
      <c r="G1" s="2" t="s">
        <v>6</v>
      </c>
    </row>
    <row r="2" spans="1:7" s="5" customFormat="1" ht="316.7" customHeight="1">
      <c r="A2" s="5" t="s">
        <v>233</v>
      </c>
      <c r="B2" s="1" t="s">
        <v>234</v>
      </c>
      <c r="C2" s="5" t="s">
        <v>11</v>
      </c>
      <c r="D2" s="11" t="s">
        <v>235</v>
      </c>
      <c r="E2" s="5">
        <v>200</v>
      </c>
      <c r="F2" s="11" t="s">
        <v>236</v>
      </c>
      <c r="G2" s="5" t="s">
        <v>237</v>
      </c>
    </row>
    <row r="3" spans="1:7" s="5" customFormat="1" ht="316.7" customHeight="1">
      <c r="A3" s="5" t="s">
        <v>238</v>
      </c>
      <c r="B3" s="1" t="s">
        <v>234</v>
      </c>
      <c r="C3" s="5" t="s">
        <v>11</v>
      </c>
      <c r="D3" s="11" t="s">
        <v>235</v>
      </c>
      <c r="E3" s="5">
        <v>200</v>
      </c>
      <c r="F3" s="11" t="s">
        <v>239</v>
      </c>
      <c r="G3" s="5" t="s">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1"/>
  <sheetViews>
    <sheetView topLeftCell="A10" zoomScale="80" zoomScaleNormal="80" workbookViewId="0">
      <selection activeCell="G41" sqref="G41"/>
    </sheetView>
  </sheetViews>
  <sheetFormatPr defaultRowHeight="14.45" customHeight="1"/>
  <cols>
    <col min="1" max="1" width="18.85546875" style="8" customWidth="1"/>
    <col min="2" max="2" width="35.5703125" customWidth="1"/>
    <col min="3" max="3" width="15.42578125" style="12" customWidth="1"/>
    <col min="4" max="4" width="22.5703125" customWidth="1"/>
    <col min="5" max="5" width="21.140625" style="12" customWidth="1"/>
    <col min="6" max="6" width="22.42578125" customWidth="1"/>
    <col min="7" max="7" width="32.140625" customWidth="1"/>
    <col min="24" max="24" width="20" customWidth="1"/>
    <col min="25" max="25" width="15.42578125" style="12" customWidth="1"/>
    <col min="26" max="26" width="15.140625" customWidth="1"/>
    <col min="27" max="27" width="18.85546875" customWidth="1"/>
    <col min="28" max="28" width="14.85546875" customWidth="1"/>
    <col min="29" max="29" width="19.85546875" customWidth="1"/>
  </cols>
  <sheetData>
    <row r="1" spans="1:25" ht="14.45" customHeight="1">
      <c r="A1" s="54" t="s">
        <v>0</v>
      </c>
      <c r="B1" s="6" t="s">
        <v>1</v>
      </c>
      <c r="C1" s="6" t="s">
        <v>2</v>
      </c>
      <c r="D1" s="2" t="s">
        <v>3</v>
      </c>
      <c r="E1" s="6" t="s">
        <v>4</v>
      </c>
      <c r="F1" s="3" t="s">
        <v>5</v>
      </c>
      <c r="G1" s="2" t="s">
        <v>6</v>
      </c>
    </row>
    <row r="2" spans="1:25" ht="409.6" customHeight="1">
      <c r="A2" s="8" t="s">
        <v>240</v>
      </c>
      <c r="B2" s="12" t="s">
        <v>241</v>
      </c>
      <c r="C2" s="12" t="s">
        <v>25</v>
      </c>
      <c r="D2" s="5" t="s">
        <v>26</v>
      </c>
      <c r="E2" s="12">
        <v>200</v>
      </c>
      <c r="F2" s="11" t="s">
        <v>242</v>
      </c>
      <c r="G2" s="5" t="s">
        <v>243</v>
      </c>
    </row>
    <row r="3" spans="1:25" ht="409.6" customHeight="1">
      <c r="A3" s="8" t="s">
        <v>244</v>
      </c>
      <c r="B3" s="8" t="s">
        <v>245</v>
      </c>
      <c r="C3" s="8" t="s">
        <v>246</v>
      </c>
      <c r="D3" s="11" t="s">
        <v>247</v>
      </c>
      <c r="E3" s="12">
        <v>400</v>
      </c>
      <c r="F3" s="11" t="s">
        <v>248</v>
      </c>
      <c r="G3" s="11"/>
      <c r="L3" s="10"/>
      <c r="M3" s="10"/>
      <c r="N3" s="10"/>
      <c r="O3" s="10"/>
      <c r="P3" s="10"/>
      <c r="Q3" s="10"/>
      <c r="R3" s="10"/>
      <c r="S3" s="10"/>
      <c r="T3" s="10"/>
      <c r="U3" s="10"/>
      <c r="V3" s="10"/>
      <c r="W3" s="10"/>
      <c r="X3" s="10"/>
      <c r="Y3" s="8"/>
    </row>
    <row r="4" spans="1:25" ht="403.35" customHeight="1">
      <c r="A4" s="8" t="s">
        <v>249</v>
      </c>
      <c r="B4" s="8" t="s">
        <v>245</v>
      </c>
      <c r="C4" s="8" t="s">
        <v>246</v>
      </c>
      <c r="D4" s="11" t="s">
        <v>250</v>
      </c>
      <c r="E4" s="12">
        <v>400</v>
      </c>
      <c r="F4" s="11" t="s">
        <v>251</v>
      </c>
      <c r="G4" s="11"/>
      <c r="L4" s="10"/>
      <c r="M4" s="10"/>
      <c r="N4" s="10"/>
      <c r="O4" s="10"/>
      <c r="P4" s="10"/>
      <c r="Q4" s="10"/>
      <c r="R4" s="10"/>
      <c r="S4" s="10"/>
      <c r="T4" s="10"/>
      <c r="U4" s="10"/>
      <c r="V4" s="10"/>
      <c r="W4" s="10"/>
      <c r="X4" s="10"/>
      <c r="Y4" s="8"/>
    </row>
    <row r="5" spans="1:25" ht="57.6" customHeight="1">
      <c r="A5" s="8" t="s">
        <v>252</v>
      </c>
      <c r="B5" s="12" t="s">
        <v>253</v>
      </c>
      <c r="C5" s="12" t="s">
        <v>25</v>
      </c>
      <c r="D5" s="5" t="s">
        <v>26</v>
      </c>
      <c r="E5" s="12">
        <v>404</v>
      </c>
      <c r="F5" s="11" t="s">
        <v>254</v>
      </c>
      <c r="G5" s="5"/>
    </row>
    <row r="6" spans="1:25" ht="57.6" customHeight="1">
      <c r="A6" s="8" t="s">
        <v>255</v>
      </c>
      <c r="B6" s="12" t="s">
        <v>241</v>
      </c>
      <c r="C6" s="12" t="s">
        <v>25</v>
      </c>
      <c r="D6" s="5" t="s">
        <v>26</v>
      </c>
      <c r="E6" s="12">
        <v>401</v>
      </c>
      <c r="F6" s="10" t="s">
        <v>256</v>
      </c>
    </row>
    <row r="7" spans="1:25" ht="158.44999999999999" customHeight="1">
      <c r="A7" s="8" t="s">
        <v>257</v>
      </c>
      <c r="B7" s="12" t="s">
        <v>245</v>
      </c>
      <c r="C7" s="12" t="s">
        <v>246</v>
      </c>
      <c r="D7" s="11" t="s">
        <v>258</v>
      </c>
      <c r="E7" s="12">
        <v>200</v>
      </c>
      <c r="F7" s="10" t="s">
        <v>259</v>
      </c>
    </row>
    <row r="8" spans="1:25" ht="409.6" customHeight="1">
      <c r="A8" s="8" t="s">
        <v>260</v>
      </c>
      <c r="B8" s="12" t="s">
        <v>261</v>
      </c>
      <c r="C8" s="12" t="s">
        <v>25</v>
      </c>
      <c r="D8" s="5" t="s">
        <v>26</v>
      </c>
      <c r="E8" s="12">
        <v>200</v>
      </c>
      <c r="F8" s="11" t="s">
        <v>262</v>
      </c>
      <c r="G8" s="5"/>
    </row>
    <row r="9" spans="1:25" ht="100.7" customHeight="1">
      <c r="A9" s="8" t="s">
        <v>263</v>
      </c>
      <c r="B9" s="12" t="s">
        <v>245</v>
      </c>
      <c r="C9" s="12" t="s">
        <v>246</v>
      </c>
      <c r="D9" s="11" t="s">
        <v>264</v>
      </c>
      <c r="E9" s="12">
        <v>200</v>
      </c>
      <c r="F9" s="10" t="s">
        <v>259</v>
      </c>
    </row>
    <row r="10" spans="1:25" ht="409.6" customHeight="1">
      <c r="A10" s="8" t="s">
        <v>265</v>
      </c>
      <c r="B10" s="12" t="s">
        <v>266</v>
      </c>
      <c r="C10" s="12" t="s">
        <v>11</v>
      </c>
      <c r="D10" s="11" t="s">
        <v>267</v>
      </c>
      <c r="E10" s="12">
        <v>200</v>
      </c>
      <c r="F10" s="11" t="s">
        <v>268</v>
      </c>
    </row>
    <row r="11" spans="1:25" ht="409.6" customHeight="1">
      <c r="A11" s="8" t="s">
        <v>269</v>
      </c>
      <c r="B11" s="8" t="s">
        <v>270</v>
      </c>
      <c r="C11" s="12" t="s">
        <v>25</v>
      </c>
      <c r="D11" s="11" t="s">
        <v>26</v>
      </c>
      <c r="E11" s="12">
        <v>200</v>
      </c>
      <c r="F11" s="11" t="s">
        <v>271</v>
      </c>
    </row>
    <row r="12" spans="1:25" ht="409.6" customHeight="1">
      <c r="A12" s="8" t="s">
        <v>272</v>
      </c>
      <c r="B12" s="8" t="s">
        <v>273</v>
      </c>
      <c r="C12" s="12" t="s">
        <v>25</v>
      </c>
      <c r="D12" s="11" t="s">
        <v>26</v>
      </c>
      <c r="E12" s="12">
        <v>200</v>
      </c>
      <c r="F12" s="11" t="s">
        <v>274</v>
      </c>
    </row>
    <row r="13" spans="1:25" ht="409.6" customHeight="1">
      <c r="A13" s="8" t="s">
        <v>275</v>
      </c>
      <c r="B13" s="8" t="s">
        <v>276</v>
      </c>
      <c r="C13" s="12" t="s">
        <v>25</v>
      </c>
      <c r="D13" s="11" t="s">
        <v>26</v>
      </c>
      <c r="E13" s="12">
        <v>200</v>
      </c>
      <c r="F13" s="11" t="s">
        <v>277</v>
      </c>
    </row>
    <row r="14" spans="1:25" ht="172.7" customHeight="1">
      <c r="A14" s="8" t="s">
        <v>278</v>
      </c>
      <c r="B14" s="8" t="s">
        <v>279</v>
      </c>
      <c r="C14" s="12" t="s">
        <v>246</v>
      </c>
      <c r="D14" s="11" t="s">
        <v>280</v>
      </c>
      <c r="E14" s="12">
        <v>200</v>
      </c>
      <c r="F14" s="10" t="s">
        <v>281</v>
      </c>
    </row>
    <row r="15" spans="1:25" ht="144" customHeight="1">
      <c r="A15" s="8" t="s">
        <v>282</v>
      </c>
      <c r="B15" s="8" t="s">
        <v>279</v>
      </c>
      <c r="C15" s="12" t="s">
        <v>11</v>
      </c>
      <c r="D15" s="11" t="s">
        <v>283</v>
      </c>
      <c r="E15" s="12">
        <v>201</v>
      </c>
      <c r="F15" s="10" t="s">
        <v>284</v>
      </c>
    </row>
    <row r="16" spans="1:25" ht="259.35000000000002" customHeight="1">
      <c r="A16" s="8" t="s">
        <v>285</v>
      </c>
      <c r="B16" s="8" t="s">
        <v>286</v>
      </c>
      <c r="C16" s="12" t="s">
        <v>25</v>
      </c>
      <c r="D16" s="11" t="s">
        <v>26</v>
      </c>
      <c r="E16" s="12">
        <v>200</v>
      </c>
      <c r="F16" s="10" t="s">
        <v>287</v>
      </c>
    </row>
    <row r="17" spans="1:6" ht="144" customHeight="1">
      <c r="A17" s="8" t="s">
        <v>288</v>
      </c>
      <c r="B17" s="8" t="s">
        <v>289</v>
      </c>
      <c r="C17" s="12" t="s">
        <v>25</v>
      </c>
      <c r="E17" s="12">
        <v>200</v>
      </c>
      <c r="F17" s="10" t="s">
        <v>290</v>
      </c>
    </row>
    <row r="18" spans="1:6" ht="14.45" customHeight="1">
      <c r="B18" s="10"/>
    </row>
    <row r="41" spans="7:7" ht="14.45" customHeight="1">
      <c r="G41" s="7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zoomScale="85" zoomScaleNormal="85" workbookViewId="0">
      <selection activeCell="B14" sqref="B14"/>
    </sheetView>
  </sheetViews>
  <sheetFormatPr defaultRowHeight="14.45" customHeight="1"/>
  <cols>
    <col min="1" max="1" width="35.85546875" customWidth="1"/>
    <col min="2" max="2" width="61.140625" customWidth="1"/>
    <col min="3" max="3" width="26.140625" customWidth="1"/>
    <col min="4" max="4" width="25.42578125" customWidth="1"/>
    <col min="5" max="5" width="30.85546875" customWidth="1"/>
    <col min="6" max="6" width="25" customWidth="1"/>
    <col min="7" max="7" width="27.140625" customWidth="1"/>
  </cols>
  <sheetData>
    <row r="1" spans="1:10" ht="14.45" customHeight="1">
      <c r="A1" s="2" t="s">
        <v>0</v>
      </c>
      <c r="B1" s="6" t="s">
        <v>1</v>
      </c>
      <c r="C1" s="7" t="s">
        <v>2</v>
      </c>
      <c r="D1" s="2" t="s">
        <v>3</v>
      </c>
      <c r="E1" s="2" t="s">
        <v>4</v>
      </c>
      <c r="F1" s="3" t="s">
        <v>5</v>
      </c>
      <c r="G1" s="2" t="s">
        <v>6</v>
      </c>
      <c r="I1" s="2"/>
      <c r="J1" s="6"/>
    </row>
    <row r="2" spans="1:10" ht="43.35" customHeight="1">
      <c r="A2" t="s">
        <v>291</v>
      </c>
      <c r="B2" t="s">
        <v>292</v>
      </c>
      <c r="C2" t="s">
        <v>25</v>
      </c>
      <c r="E2">
        <v>200</v>
      </c>
      <c r="F2" s="10" t="s">
        <v>33</v>
      </c>
    </row>
    <row r="3" spans="1:10" ht="403.35" customHeight="1">
      <c r="A3" t="s">
        <v>293</v>
      </c>
      <c r="B3" t="s">
        <v>294</v>
      </c>
      <c r="C3" t="s">
        <v>11</v>
      </c>
      <c r="D3" s="10" t="s">
        <v>295</v>
      </c>
      <c r="E3">
        <v>201</v>
      </c>
      <c r="F3" s="10" t="s">
        <v>296</v>
      </c>
      <c r="G3" t="s">
        <v>297</v>
      </c>
    </row>
    <row r="4" spans="1:10" ht="360" customHeight="1">
      <c r="A4" t="s">
        <v>298</v>
      </c>
      <c r="B4" t="s">
        <v>299</v>
      </c>
      <c r="C4" t="s">
        <v>11</v>
      </c>
      <c r="D4" s="10" t="s">
        <v>300</v>
      </c>
      <c r="E4">
        <v>201</v>
      </c>
      <c r="F4" s="10" t="s">
        <v>301</v>
      </c>
      <c r="G4" t="s">
        <v>302</v>
      </c>
    </row>
    <row r="5" spans="1:10" ht="409.6" customHeight="1">
      <c r="A5" t="s">
        <v>303</v>
      </c>
      <c r="B5" t="s">
        <v>304</v>
      </c>
      <c r="C5" t="s">
        <v>25</v>
      </c>
      <c r="D5" t="s">
        <v>26</v>
      </c>
      <c r="E5">
        <v>200</v>
      </c>
      <c r="F5" s="10" t="s">
        <v>305</v>
      </c>
    </row>
    <row r="6" spans="1:10" ht="360" customHeight="1">
      <c r="A6" t="s">
        <v>306</v>
      </c>
      <c r="B6" t="s">
        <v>299</v>
      </c>
      <c r="C6" t="s">
        <v>246</v>
      </c>
      <c r="D6" s="10" t="s">
        <v>307</v>
      </c>
      <c r="E6">
        <v>200</v>
      </c>
      <c r="F6" s="10" t="s">
        <v>308</v>
      </c>
    </row>
    <row r="7" spans="1:10" ht="244.7" customHeight="1">
      <c r="A7" t="s">
        <v>309</v>
      </c>
      <c r="B7" t="s">
        <v>310</v>
      </c>
      <c r="C7" t="s">
        <v>25</v>
      </c>
      <c r="D7" s="10" t="s">
        <v>26</v>
      </c>
      <c r="E7">
        <v>200</v>
      </c>
      <c r="F7" s="10" t="s">
        <v>311</v>
      </c>
    </row>
    <row r="8" spans="1:10" ht="409.6" customHeight="1">
      <c r="A8" t="s">
        <v>312</v>
      </c>
      <c r="B8" t="s">
        <v>294</v>
      </c>
      <c r="C8" t="s">
        <v>246</v>
      </c>
      <c r="D8" s="10" t="s">
        <v>313</v>
      </c>
      <c r="E8">
        <v>200</v>
      </c>
      <c r="F8" s="10" t="s">
        <v>314</v>
      </c>
    </row>
    <row r="9" spans="1:10" ht="187.35" customHeight="1">
      <c r="A9" t="s">
        <v>315</v>
      </c>
      <c r="B9" t="s">
        <v>294</v>
      </c>
      <c r="C9" t="s">
        <v>25</v>
      </c>
      <c r="D9" s="10" t="s">
        <v>26</v>
      </c>
      <c r="E9">
        <v>200</v>
      </c>
      <c r="F9" s="10" t="s">
        <v>316</v>
      </c>
    </row>
    <row r="10" spans="1:10" ht="409.6" customHeight="1">
      <c r="A10" t="s">
        <v>317</v>
      </c>
      <c r="B10" t="s">
        <v>318</v>
      </c>
      <c r="C10" t="s">
        <v>25</v>
      </c>
      <c r="D10" s="10" t="s">
        <v>26</v>
      </c>
      <c r="E10">
        <v>200</v>
      </c>
      <c r="F10" s="10" t="s">
        <v>319</v>
      </c>
    </row>
    <row r="11" spans="1:10" ht="409.6" customHeight="1">
      <c r="A11" t="s">
        <v>320</v>
      </c>
      <c r="B11" t="s">
        <v>321</v>
      </c>
      <c r="C11" t="s">
        <v>246</v>
      </c>
      <c r="D11" s="10" t="s">
        <v>322</v>
      </c>
      <c r="E11">
        <v>200</v>
      </c>
      <c r="F11" s="10" t="s">
        <v>323</v>
      </c>
    </row>
    <row r="12" spans="1:10" ht="409.6" customHeight="1">
      <c r="A12" t="s">
        <v>324</v>
      </c>
      <c r="B12" t="s">
        <v>325</v>
      </c>
      <c r="C12" t="s">
        <v>25</v>
      </c>
      <c r="D12" s="10" t="s">
        <v>26</v>
      </c>
      <c r="E12">
        <v>200</v>
      </c>
      <c r="F12" s="10" t="s">
        <v>326</v>
      </c>
    </row>
    <row r="13" spans="1:10" ht="409.6" customHeight="1">
      <c r="A13" t="s">
        <v>327</v>
      </c>
      <c r="B13" t="s">
        <v>328</v>
      </c>
      <c r="C13" t="s">
        <v>246</v>
      </c>
      <c r="D13" s="10" t="s">
        <v>329</v>
      </c>
      <c r="E13">
        <v>200</v>
      </c>
      <c r="F13" s="10" t="s">
        <v>323</v>
      </c>
      <c r="G13" s="10"/>
    </row>
    <row r="14" spans="1:10" ht="388.7" customHeight="1">
      <c r="A14" t="s">
        <v>330</v>
      </c>
      <c r="B14" t="s">
        <v>331</v>
      </c>
      <c r="C14" t="s">
        <v>25</v>
      </c>
      <c r="D14" s="10" t="s">
        <v>26</v>
      </c>
      <c r="E14">
        <v>200</v>
      </c>
      <c r="F14" s="10" t="s">
        <v>332</v>
      </c>
      <c r="G14"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topLeftCell="A3" workbookViewId="0">
      <selection activeCell="J2" sqref="J2"/>
    </sheetView>
  </sheetViews>
  <sheetFormatPr defaultRowHeight="14.45"/>
  <cols>
    <col min="1" max="1" width="23" bestFit="1" customWidth="1"/>
    <col min="2" max="2" width="17.85546875" customWidth="1"/>
    <col min="3" max="3" width="6.85546875" bestFit="1" customWidth="1"/>
    <col min="4" max="4" width="11.85546875" bestFit="1" customWidth="1"/>
    <col min="5" max="5" width="17.85546875" bestFit="1" customWidth="1"/>
    <col min="6" max="6" width="30.42578125" bestFit="1" customWidth="1"/>
    <col min="7" max="7" width="11.7109375" bestFit="1" customWidth="1"/>
  </cols>
  <sheetData>
    <row r="1" spans="1:7">
      <c r="A1" s="57" t="s">
        <v>0</v>
      </c>
      <c r="B1" s="57" t="s">
        <v>1</v>
      </c>
      <c r="C1" s="57" t="s">
        <v>2</v>
      </c>
      <c r="D1" s="58" t="s">
        <v>3</v>
      </c>
      <c r="E1" s="58" t="s">
        <v>4</v>
      </c>
      <c r="F1" s="3" t="s">
        <v>5</v>
      </c>
      <c r="G1" s="58" t="s">
        <v>6</v>
      </c>
    </row>
    <row r="2" spans="1:7" ht="405.95" customHeight="1">
      <c r="A2" s="59" t="s">
        <v>333</v>
      </c>
      <c r="B2" s="60" t="s">
        <v>334</v>
      </c>
      <c r="C2" s="61" t="s">
        <v>11</v>
      </c>
      <c r="D2" s="62" t="s">
        <v>335</v>
      </c>
      <c r="E2" s="63">
        <v>200</v>
      </c>
      <c r="F2" s="64" t="s">
        <v>336</v>
      </c>
      <c r="G2" s="63"/>
    </row>
    <row r="3" spans="1:7" ht="246.6" customHeight="1">
      <c r="A3" s="59" t="s">
        <v>337</v>
      </c>
      <c r="B3" s="60" t="s">
        <v>334</v>
      </c>
      <c r="C3" s="61" t="s">
        <v>11</v>
      </c>
      <c r="D3" s="64" t="s">
        <v>338</v>
      </c>
      <c r="E3" s="63">
        <v>200</v>
      </c>
      <c r="F3" s="64" t="s">
        <v>339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5"/>
  <sheetViews>
    <sheetView zoomScale="85" zoomScaleNormal="85" workbookViewId="0">
      <pane ySplit="1" topLeftCell="A45" activePane="bottomLeft" state="frozen"/>
      <selection pane="bottomLeft" activeCell="A51" sqref="A51:XFD51"/>
    </sheetView>
  </sheetViews>
  <sheetFormatPr defaultRowHeight="14.45" customHeight="1"/>
  <cols>
    <col min="1" max="1" width="36.85546875" customWidth="1"/>
    <col min="2" max="2" width="45.85546875" customWidth="1"/>
    <col min="3" max="3" width="26.140625" customWidth="1"/>
    <col min="4" max="4" width="25.42578125" customWidth="1"/>
    <col min="5" max="5" width="30.85546875" customWidth="1"/>
    <col min="6" max="6" width="48.5703125" customWidth="1"/>
    <col min="7" max="7" width="27.140625" customWidth="1"/>
  </cols>
  <sheetData>
    <row r="1" spans="1:10" ht="14.45" customHeight="1">
      <c r="A1" s="2" t="s">
        <v>0</v>
      </c>
      <c r="B1" s="6" t="s">
        <v>1</v>
      </c>
      <c r="C1" s="7" t="s">
        <v>2</v>
      </c>
      <c r="D1" s="2" t="s">
        <v>3</v>
      </c>
      <c r="E1" s="2" t="s">
        <v>4</v>
      </c>
      <c r="F1" s="3" t="s">
        <v>5</v>
      </c>
      <c r="G1" s="2" t="s">
        <v>6</v>
      </c>
      <c r="I1" s="2"/>
      <c r="J1" s="6"/>
    </row>
    <row r="2" spans="1:10" ht="302.45" customHeight="1">
      <c r="A2" s="8" t="s">
        <v>340</v>
      </c>
      <c r="B2" s="12" t="s">
        <v>341</v>
      </c>
      <c r="C2" s="12" t="s">
        <v>11</v>
      </c>
      <c r="D2" s="8" t="s">
        <v>342</v>
      </c>
      <c r="E2" s="12">
        <v>200</v>
      </c>
      <c r="F2" s="8" t="s">
        <v>343</v>
      </c>
    </row>
    <row r="3" spans="1:10" s="12" customFormat="1" ht="409.6" customHeight="1">
      <c r="A3" s="8" t="s">
        <v>344</v>
      </c>
      <c r="B3" s="12" t="s">
        <v>341</v>
      </c>
      <c r="C3" s="12" t="s">
        <v>11</v>
      </c>
      <c r="D3" s="8" t="s">
        <v>345</v>
      </c>
      <c r="E3" s="12">
        <v>200</v>
      </c>
      <c r="F3" s="8" t="s">
        <v>346</v>
      </c>
    </row>
    <row r="4" spans="1:10" s="12" customFormat="1" ht="144" customHeight="1">
      <c r="A4" s="8" t="s">
        <v>347</v>
      </c>
      <c r="B4" s="12" t="s">
        <v>341</v>
      </c>
      <c r="C4" s="12" t="s">
        <v>11</v>
      </c>
      <c r="D4" s="8" t="s">
        <v>348</v>
      </c>
      <c r="E4" s="12">
        <v>200</v>
      </c>
      <c r="F4" s="8" t="s">
        <v>349</v>
      </c>
    </row>
    <row r="5" spans="1:10" s="12" customFormat="1" ht="216" customHeight="1">
      <c r="A5" s="8" t="s">
        <v>350</v>
      </c>
      <c r="B5" s="12" t="s">
        <v>341</v>
      </c>
      <c r="C5" s="12" t="s">
        <v>11</v>
      </c>
      <c r="D5" s="8" t="s">
        <v>351</v>
      </c>
      <c r="E5" s="12">
        <v>200</v>
      </c>
      <c r="F5" s="8" t="s">
        <v>352</v>
      </c>
    </row>
    <row r="6" spans="1:10" s="12" customFormat="1" ht="216" customHeight="1">
      <c r="A6" s="8" t="s">
        <v>353</v>
      </c>
      <c r="B6" s="12" t="s">
        <v>341</v>
      </c>
      <c r="C6" s="12" t="s">
        <v>11</v>
      </c>
      <c r="D6" s="8" t="s">
        <v>354</v>
      </c>
      <c r="E6" s="12">
        <v>200</v>
      </c>
      <c r="F6" s="8" t="s">
        <v>355</v>
      </c>
    </row>
    <row r="7" spans="1:10" ht="144" customHeight="1">
      <c r="A7" s="8" t="s">
        <v>356</v>
      </c>
      <c r="B7" s="12" t="s">
        <v>357</v>
      </c>
      <c r="C7" s="12" t="s">
        <v>246</v>
      </c>
      <c r="D7" s="8" t="s">
        <v>358</v>
      </c>
      <c r="E7" s="12">
        <v>200</v>
      </c>
      <c r="F7" s="8" t="s">
        <v>359</v>
      </c>
    </row>
    <row r="8" spans="1:10" ht="409.6" customHeight="1">
      <c r="A8" s="8" t="s">
        <v>360</v>
      </c>
      <c r="B8" s="8" t="s">
        <v>361</v>
      </c>
      <c r="C8" s="12" t="s">
        <v>25</v>
      </c>
      <c r="D8" s="8" t="s">
        <v>26</v>
      </c>
      <c r="E8" s="12">
        <v>200</v>
      </c>
      <c r="F8" s="8" t="s">
        <v>362</v>
      </c>
    </row>
    <row r="9" spans="1:10" ht="230.45" customHeight="1">
      <c r="A9" s="8" t="s">
        <v>363</v>
      </c>
      <c r="B9" s="12" t="s">
        <v>357</v>
      </c>
      <c r="C9" s="12" t="s">
        <v>246</v>
      </c>
      <c r="D9" s="8" t="s">
        <v>364</v>
      </c>
      <c r="E9" s="12">
        <v>200</v>
      </c>
      <c r="F9" s="8" t="s">
        <v>359</v>
      </c>
    </row>
    <row r="10" spans="1:10" ht="409.6" customHeight="1">
      <c r="A10" s="8" t="s">
        <v>365</v>
      </c>
      <c r="B10" s="8" t="s">
        <v>361</v>
      </c>
      <c r="C10" s="12" t="s">
        <v>25</v>
      </c>
      <c r="D10" s="8" t="s">
        <v>26</v>
      </c>
      <c r="E10" s="12">
        <v>200</v>
      </c>
      <c r="F10" s="8" t="s">
        <v>366</v>
      </c>
    </row>
    <row r="11" spans="1:10" ht="115.35" customHeight="1">
      <c r="A11" s="8" t="s">
        <v>367</v>
      </c>
      <c r="B11" s="12" t="s">
        <v>357</v>
      </c>
      <c r="C11" s="12" t="s">
        <v>246</v>
      </c>
      <c r="D11" s="8" t="s">
        <v>368</v>
      </c>
      <c r="E11" s="12">
        <v>200</v>
      </c>
      <c r="F11" s="8" t="s">
        <v>359</v>
      </c>
    </row>
    <row r="12" spans="1:10" ht="409.6" customHeight="1">
      <c r="A12" s="8" t="s">
        <v>369</v>
      </c>
      <c r="B12" s="8" t="s">
        <v>341</v>
      </c>
      <c r="C12" s="12" t="s">
        <v>11</v>
      </c>
      <c r="D12" s="8" t="s">
        <v>370</v>
      </c>
      <c r="E12" s="12">
        <v>200</v>
      </c>
      <c r="F12" s="8" t="s">
        <v>371</v>
      </c>
    </row>
    <row r="13" spans="1:10" ht="409.6" customHeight="1">
      <c r="A13" s="8" t="s">
        <v>372</v>
      </c>
      <c r="B13" s="8" t="s">
        <v>341</v>
      </c>
      <c r="C13" s="12" t="s">
        <v>11</v>
      </c>
      <c r="D13" s="8" t="s">
        <v>373</v>
      </c>
      <c r="E13" s="12">
        <v>200</v>
      </c>
      <c r="F13" s="8" t="s">
        <v>374</v>
      </c>
    </row>
    <row r="14" spans="1:10" ht="230.45" customHeight="1">
      <c r="A14" s="8" t="s">
        <v>375</v>
      </c>
      <c r="B14" s="8" t="s">
        <v>341</v>
      </c>
      <c r="C14" s="12" t="s">
        <v>11</v>
      </c>
      <c r="D14" s="8" t="s">
        <v>376</v>
      </c>
      <c r="E14" s="12">
        <v>200</v>
      </c>
      <c r="F14" s="10" t="s">
        <v>377</v>
      </c>
    </row>
    <row r="15" spans="1:10" ht="230.45" customHeight="1">
      <c r="A15" s="8" t="s">
        <v>378</v>
      </c>
      <c r="B15" s="8" t="s">
        <v>341</v>
      </c>
      <c r="C15" s="12" t="s">
        <v>11</v>
      </c>
      <c r="D15" s="8" t="s">
        <v>379</v>
      </c>
      <c r="E15" s="12">
        <v>200</v>
      </c>
      <c r="F15" s="8" t="s">
        <v>380</v>
      </c>
    </row>
    <row r="16" spans="1:10" ht="230.45" customHeight="1">
      <c r="A16" s="8" t="s">
        <v>381</v>
      </c>
      <c r="B16" s="8" t="s">
        <v>341</v>
      </c>
      <c r="C16" s="12" t="s">
        <v>11</v>
      </c>
      <c r="D16" s="8" t="s">
        <v>382</v>
      </c>
      <c r="E16" s="12">
        <v>200</v>
      </c>
      <c r="F16" s="8" t="s">
        <v>377</v>
      </c>
    </row>
    <row r="17" spans="1:7" ht="244.7" customHeight="1">
      <c r="A17" s="8" t="s">
        <v>383</v>
      </c>
      <c r="B17" s="8" t="s">
        <v>341</v>
      </c>
      <c r="C17" s="12" t="s">
        <v>11</v>
      </c>
      <c r="D17" s="8" t="s">
        <v>384</v>
      </c>
      <c r="E17" s="12">
        <v>200</v>
      </c>
      <c r="F17" s="8" t="s">
        <v>385</v>
      </c>
    </row>
    <row r="18" spans="1:7" ht="302.45" customHeight="1">
      <c r="A18" s="8" t="s">
        <v>386</v>
      </c>
      <c r="B18" s="8" t="s">
        <v>341</v>
      </c>
      <c r="C18" s="12" t="s">
        <v>11</v>
      </c>
      <c r="D18" s="8" t="s">
        <v>387</v>
      </c>
      <c r="E18" s="12">
        <v>200</v>
      </c>
      <c r="F18" s="8" t="s">
        <v>388</v>
      </c>
    </row>
    <row r="19" spans="1:7" ht="360" customHeight="1">
      <c r="A19" s="8" t="s">
        <v>389</v>
      </c>
      <c r="B19" s="8" t="s">
        <v>341</v>
      </c>
      <c r="C19" s="12" t="s">
        <v>11</v>
      </c>
      <c r="D19" s="8" t="s">
        <v>390</v>
      </c>
      <c r="E19" s="12">
        <v>200</v>
      </c>
      <c r="F19" s="8" t="s">
        <v>388</v>
      </c>
      <c r="G19" s="12"/>
    </row>
    <row r="20" spans="1:7" ht="302.45" customHeight="1">
      <c r="A20" s="8" t="s">
        <v>391</v>
      </c>
      <c r="B20" s="8" t="s">
        <v>341</v>
      </c>
      <c r="C20" s="12" t="s">
        <v>11</v>
      </c>
      <c r="D20" s="8" t="s">
        <v>387</v>
      </c>
      <c r="E20" s="12">
        <v>200</v>
      </c>
      <c r="F20" s="8" t="s">
        <v>392</v>
      </c>
    </row>
    <row r="21" spans="1:7" ht="360" customHeight="1">
      <c r="A21" s="8" t="s">
        <v>393</v>
      </c>
      <c r="B21" s="8" t="s">
        <v>341</v>
      </c>
      <c r="C21" s="12" t="s">
        <v>11</v>
      </c>
      <c r="D21" s="8" t="s">
        <v>390</v>
      </c>
      <c r="E21" s="12">
        <v>200</v>
      </c>
      <c r="F21" s="8" t="s">
        <v>392</v>
      </c>
    </row>
    <row r="22" spans="1:7" ht="288" customHeight="1">
      <c r="A22" s="8" t="s">
        <v>394</v>
      </c>
      <c r="B22" s="8" t="s">
        <v>341</v>
      </c>
      <c r="C22" s="12" t="s">
        <v>11</v>
      </c>
      <c r="D22" s="8" t="s">
        <v>395</v>
      </c>
      <c r="E22" s="12">
        <v>200</v>
      </c>
      <c r="F22" s="8" t="s">
        <v>396</v>
      </c>
    </row>
    <row r="23" spans="1:7" ht="360" customHeight="1">
      <c r="A23" s="8" t="s">
        <v>397</v>
      </c>
      <c r="B23" s="8" t="s">
        <v>341</v>
      </c>
      <c r="C23" s="12" t="s">
        <v>11</v>
      </c>
      <c r="D23" s="8" t="s">
        <v>398</v>
      </c>
      <c r="E23" s="12">
        <v>200</v>
      </c>
      <c r="F23" s="8" t="s">
        <v>399</v>
      </c>
    </row>
    <row r="24" spans="1:7" ht="302.45" customHeight="1">
      <c r="A24" s="8" t="s">
        <v>400</v>
      </c>
      <c r="B24" s="8" t="s">
        <v>341</v>
      </c>
      <c r="C24" s="12" t="s">
        <v>11</v>
      </c>
      <c r="D24" s="8" t="s">
        <v>401</v>
      </c>
      <c r="E24" s="12">
        <v>200</v>
      </c>
      <c r="F24" s="8" t="s">
        <v>402</v>
      </c>
    </row>
    <row r="25" spans="1:7" ht="273.60000000000002" customHeight="1">
      <c r="A25" s="8" t="s">
        <v>403</v>
      </c>
      <c r="B25" s="8" t="s">
        <v>341</v>
      </c>
      <c r="C25" s="12" t="s">
        <v>11</v>
      </c>
      <c r="D25" s="8" t="s">
        <v>404</v>
      </c>
      <c r="E25" s="12">
        <v>200</v>
      </c>
      <c r="F25" s="8" t="s">
        <v>405</v>
      </c>
    </row>
    <row r="26" spans="1:7" ht="288" customHeight="1">
      <c r="A26" s="8" t="s">
        <v>406</v>
      </c>
      <c r="B26" s="8" t="s">
        <v>341</v>
      </c>
      <c r="C26" s="12" t="s">
        <v>11</v>
      </c>
      <c r="D26" s="8" t="s">
        <v>407</v>
      </c>
      <c r="E26" s="12">
        <v>200</v>
      </c>
      <c r="F26" s="8" t="s">
        <v>405</v>
      </c>
    </row>
    <row r="27" spans="1:7" ht="288" customHeight="1">
      <c r="A27" s="8" t="s">
        <v>408</v>
      </c>
      <c r="B27" s="8" t="s">
        <v>341</v>
      </c>
      <c r="C27" s="12" t="s">
        <v>11</v>
      </c>
      <c r="D27" s="8" t="s">
        <v>409</v>
      </c>
      <c r="E27" s="12">
        <v>200</v>
      </c>
      <c r="F27" s="8" t="s">
        <v>405</v>
      </c>
    </row>
    <row r="28" spans="1:7" ht="187.35" customHeight="1">
      <c r="A28" s="8" t="s">
        <v>410</v>
      </c>
      <c r="B28" s="8" t="s">
        <v>341</v>
      </c>
      <c r="C28" s="12" t="s">
        <v>11</v>
      </c>
      <c r="D28" s="8" t="s">
        <v>411</v>
      </c>
      <c r="E28" s="12">
        <v>200</v>
      </c>
      <c r="F28" s="8" t="s">
        <v>412</v>
      </c>
    </row>
    <row r="29" spans="1:7" ht="331.35" customHeight="1">
      <c r="A29" s="8" t="s">
        <v>413</v>
      </c>
      <c r="B29" s="8" t="s">
        <v>341</v>
      </c>
      <c r="C29" s="12" t="s">
        <v>11</v>
      </c>
      <c r="D29" s="8" t="s">
        <v>414</v>
      </c>
      <c r="E29" s="12">
        <v>200</v>
      </c>
      <c r="F29" s="8" t="s">
        <v>415</v>
      </c>
    </row>
    <row r="30" spans="1:7" ht="115.35" customHeight="1">
      <c r="A30" s="8" t="s">
        <v>416</v>
      </c>
      <c r="B30" s="8" t="s">
        <v>341</v>
      </c>
      <c r="C30" s="12" t="s">
        <v>11</v>
      </c>
      <c r="D30" s="8" t="s">
        <v>417</v>
      </c>
      <c r="E30" s="12">
        <v>200</v>
      </c>
      <c r="F30" s="8" t="s">
        <v>418</v>
      </c>
    </row>
    <row r="31" spans="1:7" ht="115.35" customHeight="1">
      <c r="A31" s="8" t="s">
        <v>419</v>
      </c>
      <c r="B31" s="8" t="s">
        <v>341</v>
      </c>
      <c r="C31" s="12" t="s">
        <v>11</v>
      </c>
      <c r="D31" s="8" t="s">
        <v>420</v>
      </c>
      <c r="E31" s="12">
        <v>200</v>
      </c>
      <c r="F31" s="8" t="s">
        <v>418</v>
      </c>
    </row>
    <row r="32" spans="1:7" ht="129.6" customHeight="1">
      <c r="A32" s="8" t="s">
        <v>421</v>
      </c>
      <c r="B32" s="8" t="s">
        <v>341</v>
      </c>
      <c r="C32" s="12" t="s">
        <v>11</v>
      </c>
      <c r="D32" s="8" t="s">
        <v>422</v>
      </c>
      <c r="E32" s="12">
        <v>200</v>
      </c>
      <c r="F32" s="8" t="s">
        <v>418</v>
      </c>
    </row>
    <row r="33" spans="1:7" ht="158.44999999999999" customHeight="1">
      <c r="A33" s="8" t="s">
        <v>423</v>
      </c>
      <c r="B33" s="10" t="s">
        <v>424</v>
      </c>
      <c r="C33" s="12" t="s">
        <v>25</v>
      </c>
      <c r="D33" s="8" t="s">
        <v>26</v>
      </c>
      <c r="E33" s="12">
        <v>200</v>
      </c>
      <c r="F33" s="8" t="s">
        <v>425</v>
      </c>
      <c r="G33" t="s">
        <v>426</v>
      </c>
    </row>
    <row r="34" spans="1:7" ht="158.44999999999999" customHeight="1">
      <c r="A34" s="8" t="s">
        <v>427</v>
      </c>
      <c r="B34" s="10" t="s">
        <v>424</v>
      </c>
      <c r="C34" s="12" t="s">
        <v>25</v>
      </c>
      <c r="D34" s="8" t="s">
        <v>26</v>
      </c>
      <c r="E34" s="12">
        <v>200</v>
      </c>
      <c r="F34" s="8" t="s">
        <v>425</v>
      </c>
      <c r="G34" t="s">
        <v>426</v>
      </c>
    </row>
    <row r="35" spans="1:7" ht="57.6" customHeight="1">
      <c r="A35" s="8" t="s">
        <v>428</v>
      </c>
      <c r="B35" s="10" t="s">
        <v>429</v>
      </c>
      <c r="C35" s="12" t="s">
        <v>25</v>
      </c>
      <c r="D35" s="8" t="s">
        <v>26</v>
      </c>
      <c r="E35" s="12">
        <v>404</v>
      </c>
      <c r="F35" s="8" t="s">
        <v>430</v>
      </c>
    </row>
    <row r="36" spans="1:7" ht="57.6" customHeight="1">
      <c r="A36" s="8" t="s">
        <v>431</v>
      </c>
      <c r="B36" s="10" t="s">
        <v>432</v>
      </c>
      <c r="C36" s="12" t="s">
        <v>25</v>
      </c>
      <c r="D36" s="8" t="s">
        <v>26</v>
      </c>
      <c r="E36" s="12">
        <v>404</v>
      </c>
      <c r="F36" s="8" t="s">
        <v>430</v>
      </c>
    </row>
    <row r="37" spans="1:7" ht="57.6" customHeight="1">
      <c r="A37" s="8" t="s">
        <v>433</v>
      </c>
      <c r="B37" s="75" t="s">
        <v>434</v>
      </c>
      <c r="C37" s="12" t="s">
        <v>25</v>
      </c>
      <c r="D37" s="8" t="s">
        <v>26</v>
      </c>
      <c r="E37" s="12">
        <v>400</v>
      </c>
      <c r="F37" s="8" t="s">
        <v>435</v>
      </c>
    </row>
    <row r="38" spans="1:7" ht="57.6" customHeight="1">
      <c r="A38" s="8" t="s">
        <v>436</v>
      </c>
      <c r="B38" t="s">
        <v>437</v>
      </c>
      <c r="C38" s="12" t="s">
        <v>25</v>
      </c>
      <c r="D38" s="8" t="s">
        <v>26</v>
      </c>
      <c r="E38" s="12">
        <v>400</v>
      </c>
      <c r="F38" s="8" t="s">
        <v>438</v>
      </c>
    </row>
    <row r="39" spans="1:7" ht="57.6" customHeight="1">
      <c r="A39" s="8" t="s">
        <v>439</v>
      </c>
      <c r="B39" t="s">
        <v>440</v>
      </c>
      <c r="C39" s="12" t="s">
        <v>25</v>
      </c>
      <c r="D39" s="8" t="s">
        <v>26</v>
      </c>
      <c r="E39" s="12">
        <v>400</v>
      </c>
      <c r="F39" s="8" t="s">
        <v>438</v>
      </c>
    </row>
    <row r="40" spans="1:7" ht="409.6" customHeight="1">
      <c r="A40" s="8" t="s">
        <v>441</v>
      </c>
      <c r="B40" s="12" t="s">
        <v>442</v>
      </c>
      <c r="C40" s="12" t="s">
        <v>25</v>
      </c>
      <c r="D40" s="8" t="s">
        <v>26</v>
      </c>
      <c r="E40" s="12">
        <v>200</v>
      </c>
      <c r="F40" s="8" t="s">
        <v>443</v>
      </c>
    </row>
    <row r="41" spans="1:7" ht="409.6" customHeight="1">
      <c r="A41" s="8" t="s">
        <v>444</v>
      </c>
      <c r="B41" s="12" t="s">
        <v>341</v>
      </c>
      <c r="C41" s="12" t="s">
        <v>11</v>
      </c>
      <c r="D41" s="8" t="s">
        <v>445</v>
      </c>
      <c r="E41" s="12">
        <v>200</v>
      </c>
      <c r="F41" s="8" t="s">
        <v>446</v>
      </c>
      <c r="G41" s="12" t="s">
        <v>447</v>
      </c>
    </row>
    <row r="42" spans="1:7" ht="409.6" customHeight="1">
      <c r="A42" s="8" t="s">
        <v>448</v>
      </c>
      <c r="B42" s="12" t="s">
        <v>341</v>
      </c>
      <c r="C42" s="12" t="s">
        <v>11</v>
      </c>
      <c r="D42" s="8" t="s">
        <v>445</v>
      </c>
      <c r="E42" s="12">
        <v>200</v>
      </c>
      <c r="F42" s="8" t="s">
        <v>446</v>
      </c>
      <c r="G42" s="12" t="s">
        <v>447</v>
      </c>
    </row>
    <row r="43" spans="1:7" ht="409.6" customHeight="1">
      <c r="A43" s="8" t="s">
        <v>449</v>
      </c>
      <c r="B43" s="12" t="s">
        <v>341</v>
      </c>
      <c r="C43" s="12" t="s">
        <v>11</v>
      </c>
      <c r="D43" s="8" t="s">
        <v>450</v>
      </c>
      <c r="E43" s="12">
        <v>200</v>
      </c>
      <c r="F43" s="8" t="s">
        <v>451</v>
      </c>
      <c r="G43" s="12" t="s">
        <v>447</v>
      </c>
    </row>
    <row r="44" spans="1:7" ht="409.6" customHeight="1">
      <c r="A44" s="8" t="s">
        <v>452</v>
      </c>
      <c r="B44" s="12" t="s">
        <v>341</v>
      </c>
      <c r="C44" s="12" t="s">
        <v>11</v>
      </c>
      <c r="D44" s="8" t="s">
        <v>453</v>
      </c>
      <c r="E44" s="12">
        <v>200</v>
      </c>
      <c r="F44" s="8" t="s">
        <v>454</v>
      </c>
    </row>
    <row r="45" spans="1:7" ht="409.6" customHeight="1">
      <c r="A45" s="8" t="s">
        <v>455</v>
      </c>
      <c r="B45" s="12" t="s">
        <v>341</v>
      </c>
      <c r="C45" s="12" t="s">
        <v>11</v>
      </c>
      <c r="D45" s="8" t="s">
        <v>456</v>
      </c>
      <c r="E45" s="12">
        <v>200</v>
      </c>
      <c r="F45" s="8" t="s">
        <v>457</v>
      </c>
    </row>
  </sheetData>
  <hyperlinks>
    <hyperlink ref="B37" r:id="rId1" display="https://api-insights-dev2.takeda.io/batches/api/v1/external-batch-list?board_type=test&amp;opu=Plasma|Biologics&amp;site=Vienna|Madrid&amp;process=Drug Substance|Finished Drug Product|Master Cell Stock&amp;brand=Albumin NG|Alofisel&amp;page=1&amp;limit=100&amp;events=Tender|CPA&amp;status=Completed|On Track&amp;potency=Blank - Sales Rpt Code 541/S5" xr:uid="{C18FED71-2AA6-44DB-86A7-9E834F847FF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
  <sheetViews>
    <sheetView zoomScale="80" zoomScaleNormal="80" workbookViewId="0">
      <selection sqref="A1:G1"/>
    </sheetView>
  </sheetViews>
  <sheetFormatPr defaultRowHeight="14.45" customHeight="1"/>
  <cols>
    <col min="1" max="1" width="25.85546875" customWidth="1"/>
    <col min="2" max="2" width="34.5703125" customWidth="1"/>
    <col min="4" max="4" width="48.5703125" customWidth="1"/>
    <col min="5" max="5" width="17.85546875" customWidth="1"/>
    <col min="6" max="6" width="53.85546875" customWidth="1"/>
    <col min="7" max="7" width="11.85546875" customWidth="1"/>
  </cols>
  <sheetData>
    <row r="1" spans="1:7" ht="14.45" customHeight="1">
      <c r="A1" s="54" t="s">
        <v>0</v>
      </c>
      <c r="B1" s="54" t="s">
        <v>1</v>
      </c>
      <c r="C1" s="54" t="s">
        <v>2</v>
      </c>
      <c r="D1" s="55" t="s">
        <v>3</v>
      </c>
      <c r="E1" s="55" t="s">
        <v>4</v>
      </c>
      <c r="F1" s="56" t="s">
        <v>5</v>
      </c>
      <c r="G1" s="55" t="s">
        <v>6</v>
      </c>
    </row>
    <row r="2" spans="1:7" ht="43.35" customHeight="1">
      <c r="A2" s="10" t="s">
        <v>458</v>
      </c>
      <c r="B2" s="10" t="s">
        <v>459</v>
      </c>
      <c r="C2" s="10" t="s">
        <v>25</v>
      </c>
      <c r="D2" s="10" t="s">
        <v>26</v>
      </c>
      <c r="E2" s="10">
        <v>200</v>
      </c>
      <c r="F2" s="10" t="s">
        <v>460</v>
      </c>
      <c r="G2" s="10" t="s">
        <v>71</v>
      </c>
    </row>
    <row r="3" spans="1:7" ht="115.35" customHeight="1">
      <c r="A3" s="10" t="s">
        <v>461</v>
      </c>
      <c r="B3" s="10" t="s">
        <v>462</v>
      </c>
      <c r="C3" s="10" t="s">
        <v>246</v>
      </c>
      <c r="D3" s="10" t="s">
        <v>463</v>
      </c>
      <c r="E3" s="10">
        <v>200</v>
      </c>
      <c r="F3" s="10" t="s">
        <v>464</v>
      </c>
      <c r="G3" s="10" t="s">
        <v>71</v>
      </c>
    </row>
    <row r="4" spans="1:7" ht="100.7" customHeight="1">
      <c r="A4" s="10" t="s">
        <v>465</v>
      </c>
      <c r="B4" s="10" t="s">
        <v>466</v>
      </c>
      <c r="C4" s="10" t="s">
        <v>21</v>
      </c>
      <c r="D4" s="10" t="s">
        <v>467</v>
      </c>
      <c r="E4" s="10">
        <v>200</v>
      </c>
      <c r="F4" s="10" t="s">
        <v>468</v>
      </c>
      <c r="G4" s="10" t="s">
        <v>71</v>
      </c>
    </row>
    <row r="5" spans="1:7" ht="43.35" customHeight="1">
      <c r="A5" s="10" t="s">
        <v>469</v>
      </c>
      <c r="B5" s="10" t="s">
        <v>470</v>
      </c>
      <c r="C5" s="10" t="s">
        <v>11</v>
      </c>
      <c r="D5" s="10" t="s">
        <v>471</v>
      </c>
      <c r="E5" s="10">
        <v>200</v>
      </c>
      <c r="F5" s="10" t="s">
        <v>460</v>
      </c>
      <c r="G5" s="10" t="s">
        <v>71</v>
      </c>
    </row>
    <row r="6" spans="1:7" ht="43.35" customHeight="1">
      <c r="A6" s="10" t="s">
        <v>472</v>
      </c>
      <c r="B6" s="10" t="s">
        <v>473</v>
      </c>
      <c r="C6" s="10" t="s">
        <v>25</v>
      </c>
      <c r="D6" s="10" t="s">
        <v>26</v>
      </c>
      <c r="E6" s="10">
        <v>200</v>
      </c>
      <c r="F6" s="10" t="s">
        <v>460</v>
      </c>
      <c r="G6" s="10" t="s">
        <v>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8"/>
  <sheetViews>
    <sheetView topLeftCell="A7" workbookViewId="0">
      <selection activeCell="A8" sqref="A8"/>
    </sheetView>
  </sheetViews>
  <sheetFormatPr defaultRowHeight="14.45"/>
  <cols>
    <col min="1" max="1" width="53.5703125" bestFit="1" customWidth="1"/>
    <col min="2" max="2" width="20.7109375" bestFit="1" customWidth="1"/>
    <col min="3" max="3" width="6.85546875" bestFit="1" customWidth="1"/>
    <col min="4" max="4" width="255.5703125" bestFit="1" customWidth="1"/>
    <col min="5" max="5" width="17.85546875" bestFit="1" customWidth="1"/>
    <col min="6" max="6" width="255.5703125" customWidth="1"/>
  </cols>
  <sheetData>
    <row r="1" spans="1:7">
      <c r="A1" t="s">
        <v>0</v>
      </c>
      <c r="B1" t="s">
        <v>1</v>
      </c>
      <c r="C1" t="s">
        <v>2</v>
      </c>
      <c r="D1" t="s">
        <v>3</v>
      </c>
      <c r="E1" t="s">
        <v>4</v>
      </c>
      <c r="F1" t="s">
        <v>5</v>
      </c>
      <c r="G1" t="s">
        <v>6</v>
      </c>
    </row>
    <row r="2" spans="1:7" ht="57.95" customHeight="1">
      <c r="A2" t="s">
        <v>474</v>
      </c>
      <c r="B2" t="s">
        <v>146</v>
      </c>
      <c r="C2" t="s">
        <v>11</v>
      </c>
      <c r="D2" s="65" t="s">
        <v>147</v>
      </c>
      <c r="E2">
        <v>200</v>
      </c>
      <c r="F2" s="65" t="s">
        <v>475</v>
      </c>
    </row>
    <row r="3" spans="1:7" ht="409.5">
      <c r="A3" t="s">
        <v>476</v>
      </c>
      <c r="B3" t="s">
        <v>146</v>
      </c>
      <c r="C3" t="s">
        <v>11</v>
      </c>
      <c r="D3" s="65" t="s">
        <v>477</v>
      </c>
      <c r="E3">
        <v>200</v>
      </c>
      <c r="F3" t="s">
        <v>478</v>
      </c>
    </row>
    <row r="4" spans="1:7">
      <c r="A4" t="s">
        <v>479</v>
      </c>
      <c r="B4" t="s">
        <v>146</v>
      </c>
      <c r="C4" t="s">
        <v>11</v>
      </c>
      <c r="D4" t="s">
        <v>480</v>
      </c>
      <c r="E4">
        <v>200</v>
      </c>
      <c r="F4" t="s">
        <v>481</v>
      </c>
    </row>
    <row r="5" spans="1:7" ht="13.5" customHeight="1">
      <c r="A5" t="s">
        <v>482</v>
      </c>
      <c r="B5" t="s">
        <v>146</v>
      </c>
      <c r="C5" t="s">
        <v>11</v>
      </c>
      <c r="D5" s="65" t="s">
        <v>483</v>
      </c>
      <c r="E5">
        <v>200</v>
      </c>
      <c r="F5" s="65" t="s">
        <v>484</v>
      </c>
    </row>
    <row r="6" spans="1:7">
      <c r="A6" t="s">
        <v>485</v>
      </c>
      <c r="B6" t="s">
        <v>146</v>
      </c>
      <c r="C6" t="s">
        <v>11</v>
      </c>
      <c r="D6" t="s">
        <v>486</v>
      </c>
      <c r="E6">
        <v>200</v>
      </c>
      <c r="F6" t="s">
        <v>487</v>
      </c>
    </row>
    <row r="7" spans="1:7" ht="362.45">
      <c r="A7" t="s">
        <v>488</v>
      </c>
      <c r="B7" t="s">
        <v>146</v>
      </c>
      <c r="C7" t="s">
        <v>11</v>
      </c>
      <c r="D7" s="65" t="s">
        <v>489</v>
      </c>
      <c r="E7">
        <v>200</v>
      </c>
      <c r="F7" s="65" t="s">
        <v>490</v>
      </c>
    </row>
    <row r="8" spans="1:7" ht="409.5">
      <c r="A8" t="s">
        <v>491</v>
      </c>
      <c r="B8" t="s">
        <v>146</v>
      </c>
      <c r="C8" t="s">
        <v>11</v>
      </c>
      <c r="D8" s="65" t="s">
        <v>492</v>
      </c>
      <c r="E8">
        <v>200</v>
      </c>
      <c r="F8" s="65" t="s">
        <v>493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FC67B-6811-4E98-B1FE-E07552C01701}">
  <dimension ref="A1:G3"/>
  <sheetViews>
    <sheetView topLeftCell="A2" workbookViewId="0">
      <selection activeCell="G1" sqref="G1"/>
    </sheetView>
  </sheetViews>
  <sheetFormatPr defaultRowHeight="15"/>
  <cols>
    <col min="1" max="1" width="35.42578125" style="70" customWidth="1"/>
    <col min="2" max="2" width="39.42578125" style="70" customWidth="1"/>
    <col min="3" max="3" width="11.85546875" style="70" customWidth="1"/>
    <col min="4" max="4" width="40.5703125" style="70" customWidth="1"/>
    <col min="5" max="5" width="9.140625" style="70"/>
    <col min="6" max="6" width="57.42578125" style="70" customWidth="1"/>
    <col min="7" max="16384" width="9.140625" style="70"/>
  </cols>
  <sheetData>
    <row r="1" spans="1:7" ht="43.5">
      <c r="A1" s="67" t="s">
        <v>0</v>
      </c>
      <c r="B1" s="67" t="s">
        <v>1</v>
      </c>
      <c r="C1" s="67" t="s">
        <v>2</v>
      </c>
      <c r="D1" s="68" t="s">
        <v>3</v>
      </c>
      <c r="E1" s="68" t="s">
        <v>4</v>
      </c>
      <c r="F1" s="69" t="s">
        <v>5</v>
      </c>
      <c r="G1" s="71"/>
    </row>
    <row r="2" spans="1:7" ht="409.6">
      <c r="A2" s="70" t="s">
        <v>494</v>
      </c>
      <c r="B2" s="72" t="s">
        <v>495</v>
      </c>
      <c r="C2" s="70" t="s">
        <v>11</v>
      </c>
      <c r="D2" s="73" t="s">
        <v>496</v>
      </c>
      <c r="E2" s="70">
        <v>200</v>
      </c>
      <c r="F2" s="73" t="s">
        <v>497</v>
      </c>
    </row>
    <row r="3" spans="1:7" ht="245.25">
      <c r="A3" s="70" t="s">
        <v>498</v>
      </c>
      <c r="B3" s="72" t="s">
        <v>495</v>
      </c>
      <c r="C3" s="70" t="s">
        <v>11</v>
      </c>
      <c r="D3" s="73" t="s">
        <v>499</v>
      </c>
      <c r="E3" s="70">
        <v>200</v>
      </c>
      <c r="F3" s="73" t="s">
        <v>500</v>
      </c>
    </row>
  </sheetData>
  <hyperlinks>
    <hyperlink ref="B2" r:id="rId1" xr:uid="{6DFBDB04-3491-45F4-850F-C4E362FDE7A8}"/>
    <hyperlink ref="B3" r:id="rId2" xr:uid="{36B6E58C-178C-4D43-A879-E4AEBFA171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2026-03-05T12:28:01Z</dcterms:created>
  <dcterms:modified xsi:type="dcterms:W3CDTF">2026-04-14T15:38:27Z</dcterms:modified>
  <cp:category/>
  <cp:contentStatus/>
</cp:coreProperties>
</file>